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icrosofteur-my.sharepoint.com/personal/t-vwallerich_microsoft_com/Documents/Quantum/SLR/quantum-finance-slr/05_screening/"/>
    </mc:Choice>
  </mc:AlternateContent>
  <xr:revisionPtr revIDLastSave="6" documentId="11_F1B4C6D94AE768184D526455301556D4835741E0" xr6:coauthVersionLast="47" xr6:coauthVersionMax="47" xr10:uidLastSave="{F8782DD0-7687-458C-8B1E-22BBAE286491}"/>
  <bookViews>
    <workbookView minimized="1" xWindow="2840" yWindow="2860" windowWidth="16920" windowHeight="10460" activeTab="1" xr2:uid="{00000000-000D-0000-FFFF-FFFF00000000}"/>
  </bookViews>
  <sheets>
    <sheet name="Instructions" sheetId="1" r:id="rId1"/>
    <sheet name="Screening" sheetId="2" r:id="rId2"/>
    <sheet name="Progress" sheetId="3" r:id="rId3"/>
  </sheets>
  <definedNames>
    <definedName name="_xlnm._FilterDatabase" localSheetId="1" hidden="1">Screening!$A$1:$L$51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C7" i="3"/>
  <c r="C6" i="3"/>
  <c r="B4" i="3"/>
  <c r="C4" i="3" s="1"/>
  <c r="C3" i="3"/>
</calcChain>
</file>

<file path=xl/sharedStrings.xml><?xml version="1.0" encoding="utf-8"?>
<sst xmlns="http://schemas.openxmlformats.org/spreadsheetml/2006/main" count="519" uniqueCount="286">
  <si>
    <t>Title/Abstract Screening — Instructions</t>
  </si>
  <si>
    <t>This is the CALIBRATION file — both reviewers screen the same 50 records.</t>
  </si>
  <si>
    <t>Fill YOUR column only (Reviewer A Decision or Reviewer B Decision).</t>
  </si>
  <si>
    <t>GOAL</t>
  </si>
  <si>
    <t>Decide whether each paper should be INCLUDED or EXCLUDED based on its title and abstract.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</si>
  <si>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</si>
  <si>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</si>
  <si>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</si>
  <si>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</si>
  <si>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</si>
  <si>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</si>
  <si>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</si>
  <si>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</si>
  <si>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</si>
  <si>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</si>
  <si>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</si>
  <si>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</si>
  <si>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</si>
  <si>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</si>
  <si>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</si>
  <si>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</si>
  <si>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</si>
  <si>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</si>
  <si>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</si>
  <si>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</si>
  <si>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t>
  </si>
  <si>
    <t>Paper ID</t>
  </si>
  <si>
    <t>Title</t>
  </si>
  <si>
    <t>Authors</t>
  </si>
  <si>
    <t>Year</t>
  </si>
  <si>
    <t>DOI</t>
  </si>
  <si>
    <t>Abstract</t>
  </si>
  <si>
    <t>Source</t>
  </si>
  <si>
    <t>Reviewer A Decision</t>
  </si>
  <si>
    <t>Reviewer B Decision</t>
  </si>
  <si>
    <t>Final Decision</t>
  </si>
  <si>
    <t>Notes</t>
  </si>
  <si>
    <t>19ba4987f78e</t>
  </si>
  <si>
    <t>APPLICATION OF RISK PREDICTION SYSTEMS IN THE FOREIGN ECONOMIC ENVIRONMENT: METHODOLOGICAL FOUNDATIONS AND TRANSFORMATION VECTORS IN THE CONTEXT OF INDUSTRY 4.0</t>
  </si>
  <si>
    <t>Яна Дибчинська; Катерина Сухарева; Ольга Верітова</t>
  </si>
  <si>
    <t>2025</t>
  </si>
  <si>
    <t>10.32782/2524-0072/2025-79-22</t>
  </si>
  <si>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</si>
  <si>
    <t>semantic_scholar</t>
  </si>
  <si>
    <t>3d6d6393f792</t>
  </si>
  <si>
    <t>A comparison on constrain encoding methods for quantum approximate optimization algorithm</t>
  </si>
  <si>
    <t>Yiwen Liu; Qingyue Jiao; Yidong Zhou; Zhiding Liang; Yiyu Shi; Ke Wan; Shangjie Guo</t>
  </si>
  <si>
    <t>2024</t>
  </si>
  <si>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</si>
  <si>
    <t>arxiv</t>
  </si>
  <si>
    <t>1760158c7e1b</t>
  </si>
  <si>
    <t>Option Pricing using Quantum Computers</t>
  </si>
  <si>
    <t>Nikitas Stamatopoulos; Daniel J. Egger; Yue Sun; Christa Zoufal; Raban Iten; Ning Shen; Stefan Woerner</t>
  </si>
  <si>
    <t>2019</t>
  </si>
  <si>
    <t>10.22331/q-2020-07-06-291</t>
  </si>
  <si>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</si>
  <si>
    <t>22dd08973a4c</t>
  </si>
  <si>
    <t>Asymptotic Computing &amp;amp;ndash; Undoing the Damage</t>
  </si>
  <si>
    <t>S Ramotowski Thomas; Brodowicz Maciej; Kogler Danny; Anderson Matthew</t>
  </si>
  <si>
    <t>2017</t>
  </si>
  <si>
    <t>10.3233/978-1-61499-816-7-55</t>
  </si>
  <si>
    <t>While the very far future well beyond exaflops computing may encompass such paradigm shifts as quantum computing or neuromorphic computing, a critical window of change exists within the domain of semiconductor digital logic technology but beyond conventional practices of architecture, system software, and programming. As key parameters such as Dennard scaling, nano-scale component densities, clock rates, pin I/O, and voltage represent asymptotic operational regimes, one major area of untapped opportunity is computer architecture which has been severely limited by conventional practices of organization and control semantics. Mainstream computer architecture in HPC has been inhibited in innovation by the original von Neumann architecture of seven decades ago. Although notably diverse in form of parallelism exploited, six major epochs of computer architecture through to the present are all von Neumann derivatives. At their core is the use of single instruction issue and the prioritization of Floating Point ALU (FPU) utilization. However, in the modern age, FPUs consume only a small part of die real estate while the plethora of mechanisms to achieve maximum floating point efficiency take up the majority of the chip. The von Neumann bottleneck, the separation of memory and processor, is also retained. A revolution in computer architecture design is possible by undoing the damage of the von Neumann heritage and emphasizing the key challenges of data movement latency and bandwidth which are the true precious resources along with operation/instruction issue control. This paper discusses key tradeoffs that should drive computer architecture in what might be called the &amp;amp;ldquo;Neo-Digital Age&amp;amp;rdquo;.</t>
  </si>
  <si>
    <t>openalex</t>
  </si>
  <si>
    <t>3367ad74c461</t>
  </si>
  <si>
    <t>A Block-Encoding Method for Constant and Variable Delay Linear Delay Differential Equations</t>
  </si>
  <si>
    <t>Sameer Sharma</t>
  </si>
  <si>
    <t>10.21203/rs.3.rs-8169166/v1</t>
  </si>
  <si>
    <t>&lt;title&gt;Abstract&lt;/title&gt; Delay Differential Equations (DDEs) are used to model many systems in medicine, chemistry, and environmental science, and are characterized by the derivative of the function being dependent on the solution in both the present and the past. They are utilized in realistic systems where the transfer between states is not instantaneous, or there is delayed activation of some component. While much literature has been focused on creating quantum algorithms for ODEs, there is no such research considering DDEs. We extend the method of solving lin ear delay functions as a matrix equation to first-order DDEs by creating custom quantum block-encoding oracles for the coefficient matrix resulting from both constant and variable-delays. The findings now allow this new class of equations to be solved faster than linear time with quantum linear system solvers.</t>
  </si>
  <si>
    <t>43f2388a340d</t>
  </si>
  <si>
    <t>Determining the &lt;i&gt;N&lt;/i&gt;-representability of transition reduced density matrices</t>
  </si>
  <si>
    <t>Gustavo E. Massaccesi; P. Capuzzi; Ofelia B. Oña; Luis Laín; Alicia Torre; Juan E. Peralta; Diego R. Alcoba</t>
  </si>
  <si>
    <t>10.1063/5.0275683</t>
  </si>
  <si>
    <t>The N-representability problem of reduced density matrices represents a fundamental challenge in electronic structure theory. In this work, we focus on the N-representability of transition reduced density matrices and propose a practical approach to embed a p-body transition reduced density matrix (RDM) of an N-particle system into a (p + 1)-body RDM of an (N + 1)-particle system. This embedding allows us to apply a unitary evolution algorithm based on a recently developed adaptive derivative-assembled pseudo-Trotter variational quantum algorithm to determine the N-representability of reduced density matrices. The algorithm works by effectively applying a sequence of unitary transformations to a given (N + 1)-particle initial state in such a way that the distance of a projection of its corresponding (p + 1)-body RDM (embedded p-body transition RDM) to a target is minimized. Our methodology enables the purification of transition reduced density matrices and the reconstruction of approximate wave functions involved in the studied transitions, providing an effective strategy to correct and refine transition density matrices. We validate our approach with numerical simulations on N-particle systems, including a three-electron model system and the H3 molecule, demonstrating its robustness and accuracy.</t>
  </si>
  <si>
    <t>47688b4abd0b</t>
  </si>
  <si>
    <t>Quantum Bayesian Networks for Machine Learning in Oil-Spill Detection</t>
  </si>
  <si>
    <t>Owais Ishtiaq Siddiqui; Nouhaila Innan; Alberto Marchisio; Mohamed Bennai; Muhammad Shafique</t>
  </si>
  <si>
    <t>10.1109/IJCNN64981.2025.11228312</t>
  </si>
  <si>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</si>
  <si>
    <t>f5b1f05fe558</t>
  </si>
  <si>
    <t>Portfolio Optimization of 40 Stocks Using the DWave Quantum Annealer</t>
  </si>
  <si>
    <t>Jeffrey Cohen; Alex Khan; Clark Alexander</t>
  </si>
  <si>
    <t>2020</t>
  </si>
  <si>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</si>
  <si>
    <t>9855f84b6de3</t>
  </si>
  <si>
    <t>The Role of Artificial Intelligence in Strategic Business Decision Making</t>
  </si>
  <si>
    <t>P. Arora; Joydeep  Das</t>
  </si>
  <si>
    <t>10.61808/jsrt203</t>
  </si>
  <si>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</si>
  <si>
    <t>cf803ec26409</t>
  </si>
  <si>
    <t>Quasi-binary encoding based quantum alternating operator ansatz</t>
  </si>
  <si>
    <t>Bingren Chen; Hanqing Wu; Haomu Yuan; Lei Wu; Xin Li</t>
  </si>
  <si>
    <t>2023</t>
  </si>
  <si>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</si>
  <si>
    <t>0630bd507c5d</t>
  </si>
  <si>
    <t>AI for Business Transformation: Exploring Innovations in Banking</t>
  </si>
  <si>
    <t>S. Radhai; B. Rajendran</t>
  </si>
  <si>
    <t>10.34293/commerce.v13is1-i2.8769</t>
  </si>
  <si>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</si>
  <si>
    <t>3728d312cd79</t>
  </si>
  <si>
    <t>Synergizing Machine Learning Algorithms with Quantum Computing: A Path to Unprecedented Capabilities</t>
  </si>
  <si>
    <t>Pulugu D.</t>
  </si>
  <si>
    <t>10.1109/ICACCM61117.2024.11058996</t>
  </si>
  <si>
    <t>scopus</t>
  </si>
  <si>
    <t>1bad58b8e8e7</t>
  </si>
  <si>
    <t>Empirical Evaluation of QAOA with Zero Noise Extrapolation on NISQ Hardware for Carbon Credit Portfolio Optimization in the Brazilian Cerrado</t>
  </si>
  <si>
    <t>Hugo José Ribeiro</t>
  </si>
  <si>
    <t>2026</t>
  </si>
  <si>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</si>
  <si>
    <t>3a533a166c84</t>
  </si>
  <si>
    <t>Quantum Portfolio Optimization: An Extensive Benchmark</t>
  </si>
  <si>
    <t>Eric Stopfer; Friedrich Wagner</t>
  </si>
  <si>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</si>
  <si>
    <t>d3bf87c97dee</t>
  </si>
  <si>
    <t>Exponential Qubit Reduction in Optimization for Financial Transaction Settlement</t>
  </si>
  <si>
    <t>Elias X. Huber; Benjamin Y. L. Tan; Paul R. Griffin; Dimitris G. Angelakis</t>
  </si>
  <si>
    <t>10.1140/epjqt/s40507-024-00262-w</t>
  </si>
  <si>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</si>
  <si>
    <t>b6818d525b77</t>
  </si>
  <si>
    <t>Quantum computing fidelity susceptibility using automatic differentiation</t>
  </si>
  <si>
    <t>Olivia Di Matteo; R. M. Woloshyn</t>
  </si>
  <si>
    <t>2022</t>
  </si>
  <si>
    <t>10.1103/physreva.106.052429</t>
  </si>
  <si>
    <t>Automatic differentiation is an invaluable feature of machine learning and quantum machine learning software libraries. In this work, it is shown how quantum automatic differentiation can be used to solve the condensed-matter problem of computing fidelity susceptibility, a quantity whose value may be indicative of a phase transition in a system. Results are presented using simulations including hardware noise for small instances of the transverse-field Ising model, and a number of optimizations that can be applied are highlighted. Error mitigation (zero-noise extrapolation) is applied within the autodifferentiation framework to a number of gradient values required for the computation of fidelity susceptibility and a related quantity, the second derivative of the energy. Such computations are found to be highly sensitive to the additional statistical noise incurred by the error mitigation method.</t>
  </si>
  <si>
    <t>9228669cf4b1</t>
  </si>
  <si>
    <t>Structured PREreview of "The Art of Quantum Computing for Finance: Brief Overview and Prospects"</t>
  </si>
  <si>
    <t>Ronke Lawal</t>
  </si>
  <si>
    <t>10.5281/zenodo.17636532</t>
  </si>
  <si>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</si>
  <si>
    <t>db97f2d47914</t>
  </si>
  <si>
    <t>An approach to diagnostics based on video oculography data analysis</t>
  </si>
  <si>
    <t>Kuravsky L.S.</t>
  </si>
  <si>
    <t>2021</t>
  </si>
  <si>
    <t>f002f7ead611</t>
  </si>
  <si>
    <t>Comprehensive Integration of AI-Driven Analytics, Cybersecurity, and Heat Transfer Optimization: A Multidisciplinary Strategy for Advancing Healthcare, Risk Management, and Industrial Efficiency</t>
  </si>
  <si>
    <t>A. Khan</t>
  </si>
  <si>
    <t>10.70445/gjcsai.1.2.2025.61-78</t>
  </si>
  <si>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</si>
  <si>
    <t>29cfef5a271e</t>
  </si>
  <si>
    <t>Derivative Pricing using Quantum Signal Processing</t>
  </si>
  <si>
    <t>Nikitas Stamatopoulos; William J. Zeng</t>
  </si>
  <si>
    <t>10.22331/q-2024-04-30-1322</t>
  </si>
  <si>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</si>
  <si>
    <t>9ac554cf64c4</t>
  </si>
  <si>
    <t>Research on Quantum Computing Technology and Application</t>
  </si>
  <si>
    <t>Mengliang Li; Hong Yang; Xiong Guo</t>
  </si>
  <si>
    <t>10.2991/MASTA-19.2019.30</t>
  </si>
  <si>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</si>
  <si>
    <t>8dc8b5091eef</t>
  </si>
  <si>
    <t>Determining probability density functions with adiabatic quantum computing</t>
  </si>
  <si>
    <t>Matteo Robbiati; Juan Cruz–Martinez; Stefano Carrazza</t>
  </si>
  <si>
    <t>10.48550/arxiv.2303.11346</t>
  </si>
  <si>
    <t>The two main approaches to quantum computing are gate-based computation and analog computation, which are polynomially equivalent in terms of complexity, and they are often seen as alternatives to each other. In this work, we present a method for fitting one-dimensional probability distributions as a practical example of how analog and gate-based computation can be used together to perform different tasks within a single algorithm. In particular, we propose a strategy for encoding data within an adiabatic evolution model, which accomodates the fitting of strictly monotonic functions, as it is the cumulative distribution function of a dataset. Subsequently, we use a Trotter-bounded procedure to translate the adiabatic evolution into a quantum circuit in which the evolution time t is identified with the parameters of the circuit. This facilitates computing the probability density as derivative of the cumulative function using parameter shift rules.</t>
  </si>
  <si>
    <t>ba5afbcce6b8</t>
  </si>
  <si>
    <t>Quantum Machine Learning and Optimisation in Finance</t>
  </si>
  <si>
    <t>Tushar Vaidya</t>
  </si>
  <si>
    <t>10.1080/14697688.2024.2375260</t>
  </si>
  <si>
    <t>53080a041da9</t>
  </si>
  <si>
    <t>Confidential-computing cyber defense platform sharing threat intelligence, fortifying critical infrastructure against emerging cryptographic attacks nationwide</t>
  </si>
  <si>
    <t>Yusuff Taofeek Adeshina; Desmond Ohene Poku</t>
  </si>
  <si>
    <t>10.30574/ijsra.2025.16.2.2302</t>
  </si>
  <si>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</si>
  <si>
    <t>427268ad02dd</t>
  </si>
  <si>
    <t>An Innovative Hunting-based Quantum-inspired Jaguar Algorithm for Combinatorial Optimization</t>
  </si>
  <si>
    <t>Chou Y.H.</t>
  </si>
  <si>
    <t>10.1109/QCE60285.2024.10401</t>
  </si>
  <si>
    <t>51f31f035b53</t>
  </si>
  <si>
    <t>The absorption and emission spectra in solution of oligothiophene-based push–pull biomarkers: a PCM/TD-DFT vibronic study</t>
  </si>
  <si>
    <t>Emiliano Stendardo; Francisco J. Ávila Ferrer; Fabrizio Santoro; Roberto Improta</t>
  </si>
  <si>
    <t>2016</t>
  </si>
  <si>
    <t>10.1007/s00214-016-1899-4</t>
  </si>
  <si>
    <t>81aeabb0ae0f</t>
  </si>
  <si>
    <t>A quantum feature selection framework via ground state preparation</t>
  </si>
  <si>
    <t>Wang L.</t>
  </si>
  <si>
    <t>10.1088/1402-4896/ad0184</t>
  </si>
  <si>
    <t>02a366524bd9</t>
  </si>
  <si>
    <t>Adiabatic Quantum Computing and Quantum Annealing</t>
  </si>
  <si>
    <t>E. Grant; T. Humble</t>
  </si>
  <si>
    <t>10.1093/acrefore/9780190871994.013.32</t>
  </si>
  <si>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</si>
  <si>
    <t>c3e78ae86504</t>
  </si>
  <si>
    <t>ВЕКТОРНІ МОДЕЛІ ЛОГІКИ І СТРУКТУРИ ДЛЯ ТЕСТУВАННЯ ТА МОДЕЛЮВАННЯ ЦИФРОВИХ СХЕМ</t>
  </si>
  <si>
    <t>А. В. Хаханова; В. І. Хаханов; С. В. Чумаченко; Є. І. Литвинова; Д. Ю. Рахліс</t>
  </si>
  <si>
    <t>Context. It is known that data structures are decisive for the creation of efficient parallel algorithms and high-performance computing devices. Therefore, the development of mathematically perfect and technologically simple data structures takes about 80 percent of the design time, when about 20 percent of time and material resources are spent on algorithms and their hardware-software coding. This lead to search for such primitives of data structures that will significantly simplify the parallel high-performance algorithms which are working on them. Models and methods for testing and simulation of digital systems are proposed, which containing certain advantages of quantum computing in terms of implementation of vector qubit data structures in technology of classical computational processes. Objective. The goal of the work is development of an innovative technology for qubit-vector synthesis and deductive analysis of tests for their verification based on vector data structures that greatly simplify algorithms that can be embedded as BIST components in digital systems on chips. Method. The deductive faults simulation is used to obtain analytical expressions focused on transporting fault lists through a functional or logical element based on the xor-operation, which serves as a measure of similarity-difference between a test, a function and faults which is specified in the same way in one of the formats − a table, graph, equation. A binary vector is proposed as the most technologically advanced primitive of data structures for setting logical functionality for the purpose of parallel synthesis and analysis of digital systems. The parallelism of solving combinatorial problems is a physical property of quantum computing, which in classical computing, for parallel simulation and faults diagnostics, is provided by unitary-coded data structures due to excess memory. Results. 1) A method of analytical synthesis of deductive logic for functional elements on the gate level and register transfer level has been developed. 2) A deductive processor for faults simulation based on transporting input lists or faults vectors to external outputs of digital circuits was proposed. 3) The qubit-vector form of logic setting and methods of qubit synthesis of deductive equations for faults simulation were described. 4) A qubit-vector method for the tests’ synthesis which is using derivatives calculated by vector coverage of logic has been developed. 5) Models and methods verification is performed on test examples in the software implementation of structures and algorithms. Conclusions. The scientific novelty lies in the new paradigm of the technology for the synthesis of deductive RTL logic based on metric test equation, which forms the. A vector form for structures description is introduced, which makes it possible to apply wellknown technologies for the synthesis and analysis of logical circuits tests to effectively solve the problems of graph structures testing and state machine models of digital devices. The practical significance is reflected in the examples of analytical synthesis of deductive logic for functional elements on gate level and register transfer level. A deductive processor for faults simulation which is focused on implementation as a BIST tool, which is used in online testing, simulation and fault diagnosis for digital systems on chips is proposed. A qubit-vector form of the digital systems description is proposed, which surpasses the existing methods of computing devices development in terms of the metric: manufacturability, compactness, speed and quality. A software application has been developed that implements the main testing, simulation and diagnostics services which are used in the educational process to study the advantages of qubit-vector data structures and algorithms. The computational complexity of synthesis processes and deductive formulas for logic and their usage in fault simulation are given.</t>
  </si>
  <si>
    <t>955dd8044889</t>
  </si>
  <si>
    <t>Quantum Finance: a tutorial on quantum computing applied to the financial market</t>
  </si>
  <si>
    <t>Askery Canabarro; Taysa M. Mendonça; Ranieri Nery; George Moreno; Anton S. Albino; Gleydson F. de Jesus; Rafael Chaves</t>
  </si>
  <si>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</si>
  <si>
    <t>c5e615b1716e</t>
  </si>
  <si>
    <t>A Review of Quantum and Hybrid Quantum / Classical Blockchain Protocols</t>
  </si>
  <si>
    <t>Marcus Edwards; Atefeh Mashatan; Shohini Ghose</t>
  </si>
  <si>
    <t>10.1007/s11128-020-02672-y</t>
  </si>
  <si>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</si>
  <si>
    <t>c926aaf0ee25</t>
  </si>
  <si>
    <t>Optimization Accuracy of Secured Cloud Systems Using Deep Learning Model</t>
  </si>
  <si>
    <t>Hindka M.</t>
  </si>
  <si>
    <t>10.1109/CONIT61985.2024.10627032</t>
  </si>
  <si>
    <t>c7c25c778034</t>
  </si>
  <si>
    <t>Deep Neural Networks and Fan Tokens’ Pricing in Football Clubs</t>
  </si>
  <si>
    <t>Alaminos D.</t>
  </si>
  <si>
    <t>10.1177/18758967251388256</t>
  </si>
  <si>
    <t>c414c0fdff51</t>
  </si>
  <si>
    <t>Sovereign Cognition for Enterprise AI: A Collaboration Framework Between Immortal Tek and Microsoft</t>
  </si>
  <si>
    <t>Brewer, Mark Anthony</t>
  </si>
  <si>
    <t>10.5281/zenodo.17602224</t>
  </si>
  <si>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</si>
  <si>
    <t>0cfd33edfd1a</t>
  </si>
  <si>
    <t>Empowering Credit Scoring Systems with Quantum-Enhanced Machine Learning</t>
  </si>
  <si>
    <t>Javier Mancilla; André Sequeira; Tomas Tagliani; Francisco Llaneza; Claudio Beiza</t>
  </si>
  <si>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</si>
  <si>
    <t>59dafca9d3c7</t>
  </si>
  <si>
    <t>EXPONENTIAL IMPROVEMENT IN PRECISION FOR SIMULATING SPARSE HAMILTONIANS</t>
  </si>
  <si>
    <t>Dominic W. Berry; Andrew M. Childs; Richard Cleve; Robin Kothari; Rolando D. Somma</t>
  </si>
  <si>
    <t>10.1017/fms.2017.2</t>
  </si>
  <si>
    <t>We provide a quantum algorithm for simulating the dynamics of sparse Hamiltonians with complexity sublogarithmic in the inverse error, an exponential improvement over previous methods. Specifically, we show that a $d$ -sparse Hamiltonian $H$ acting on $n$ qubits can be simulated for time $t$ with precision $\unicode[STIX]{x1D716}$ using $O(\unicode[STIX]{x1D70F}(\log (\unicode[STIX]{x1D70F}/\unicode[STIX]{x1D716})/\log \log (\unicode[STIX]{x1D70F}/\unicode[STIX]{x1D716})))$ queries and $O(\unicode[STIX]{x1D70F}(\log ^{2}(\unicode[STIX]{x1D70F}/\unicode[STIX]{x1D716})/\log \log (\unicode[STIX]{x1D70F}/\unicode[STIX]{x1D716}))n)$ additional 2-qubit gates, where $\unicode[STIX]{x1D70F}=d^{2}\Vert H\Vert _{\max }t$ . Unlike previous approaches based on product formulas, the query complexity is independent of the number of qubits acted on, and for time-varying Hamiltonians, the gate complexity is logarithmic in the norm of the derivative of the Hamiltonian. Our algorithm is based on a significantly improved simulation of the continuous- and fractional-query models using discrete quantum queries, showing that the former models are not much more powerful than the discrete model even for very small error. We also simplify the analysis of this conversion, avoiding the need for a complex fault-correction procedure. Our simplification relies on a new form of ‘oblivious amplitude amplification’ that can be applied even though the reflection about the input state is unavailable. Finally, we prove new lower bounds showing that our algorithms are optimal as a function of the error.</t>
  </si>
  <si>
    <t>c408c3291034</t>
  </si>
  <si>
    <t>Applications of Quantum Machine Learning in Financial Services</t>
  </si>
  <si>
    <t>Bhuvaneswari S.</t>
  </si>
  <si>
    <t>e8235233a1dc</t>
  </si>
  <si>
    <t>Software for Creating Scalable Benchmarks from Quantum Algorithms</t>
  </si>
  <si>
    <t>Noah Siekierski; Stefan Seritan; Neer Patel; Siyuan Niu; Thomas Lubinski; Timothy Proctor</t>
  </si>
  <si>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</si>
  <si>
    <t>8bba31738f5f</t>
  </si>
  <si>
    <t>Quantum-Classical Auxiliary Field Quantum Monte Carlo with Matchgate Shadows on Trapped Ion Quantum Computers</t>
  </si>
  <si>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</si>
  <si>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</si>
  <si>
    <t>2fd1c20f13cb</t>
  </si>
  <si>
    <t>Innovations and Challenges in Computing, Games, and Data Science</t>
  </si>
  <si>
    <t>Bijalwan A.</t>
  </si>
  <si>
    <t>10.4018/979-8-3373-2647-4</t>
  </si>
  <si>
    <t>48c87934ef61</t>
  </si>
  <si>
    <t>Enhancing Quantum Expectation Values via Exponential Error Suppression and CVaR Optimization</t>
  </si>
  <si>
    <t>Touheed Anwar Atif; Reuben Blake Tate; Stephan Eidenbenz</t>
  </si>
  <si>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</si>
  <si>
    <t>53df43423d3e</t>
  </si>
  <si>
    <t>Quantum-Assisted Hyperparameter Tuning Challenge for Financial Fraud Detection</t>
  </si>
  <si>
    <t>Ehbali C.</t>
  </si>
  <si>
    <t>10.1007/978-3-031-88304-0_65</t>
  </si>
  <si>
    <t>8c043b163d2c</t>
  </si>
  <si>
    <t>QFDNN: A Resource-Efficient Variational Quantum Feature Deep Neural Networks for Fraud Detection and Loan Prediction</t>
  </si>
  <si>
    <t>Das S.</t>
  </si>
  <si>
    <t>10.1109/TCSS.2025.3568618</t>
  </si>
  <si>
    <t>013c62b365f6</t>
  </si>
  <si>
    <t>Quantum Artificial Intelligence Transforming the Future of Computing</t>
  </si>
  <si>
    <t>V. Geetha; C. Gomathy; R. Bhargava; P. Vikas</t>
  </si>
  <si>
    <t>10.15680/ijarety.2025.1202021</t>
  </si>
  <si>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</si>
  <si>
    <t>7b3bc72955a2</t>
  </si>
  <si>
    <t>Fast and memory-efficient strong simulation of noisy adaptive linear optical circuits</t>
  </si>
  <si>
    <t>Timothée Goubault De Brugi; Nicolas Heurtel</t>
  </si>
  <si>
    <t>10.1016/j.cpc.2025.110016</t>
  </si>
  <si>
    <t>c70ae91a70de</t>
  </si>
  <si>
    <t>The Lie Algebra of XY-mixer Topologies and Warm Starting QAOA for Constrained Optimization</t>
  </si>
  <si>
    <t>Steven Kordonowy; Hannes Leipold</t>
  </si>
  <si>
    <t>10.1038/s41534-026-01192-4</t>
  </si>
  <si>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</si>
  <si>
    <t>a242429edd00</t>
  </si>
  <si>
    <t>A Systematic Literature Review of Classical and Quantum Machine Learning Approaches for Mutual Fund Portfolio Optimization</t>
  </si>
  <si>
    <t>Fernandes L.</t>
  </si>
  <si>
    <t>10.1109/PuneCon58714.2023.10450063</t>
  </si>
  <si>
    <t>478a80a17e05</t>
  </si>
  <si>
    <t>Quantum computing-Enhanced AI systems for advanced business intelligence applications</t>
  </si>
  <si>
    <t>Itunu Taiwo; Adeyinka Ogunbajo; Adefemi Quddus Abidola</t>
  </si>
  <si>
    <t>10.30574/ijsra.2025.14.1.0314</t>
  </si>
  <si>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</si>
  <si>
    <t>67445f0a13ee</t>
  </si>
  <si>
    <t>Variational Quantum Monte Carlo Method with a Neural-Network Ansatz for Open Quantum Systems</t>
  </si>
  <si>
    <t>Alexandra Nagy; Vincenzo Savona</t>
  </si>
  <si>
    <t>10.1103/PhysRevLett.122.250501</t>
  </si>
  <si>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</si>
  <si>
    <t>101bf1ed5a7b</t>
  </si>
  <si>
    <t>QML Algorithm for Market Pattern Detection in High-Frequency Trading for Banking</t>
  </si>
  <si>
    <t>Gupta H.</t>
  </si>
  <si>
    <t>10.1109/CISES66934.2025.11265399</t>
  </si>
  <si>
    <t>Metric</t>
  </si>
  <si>
    <t>Count</t>
  </si>
  <si>
    <t>Percentage</t>
  </si>
  <si>
    <t>Total records</t>
  </si>
  <si>
    <t>50</t>
  </si>
  <si>
    <t>Screened</t>
  </si>
  <si>
    <t>Remaining</t>
  </si>
  <si>
    <t>Include</t>
  </si>
  <si>
    <t>Exclude</t>
  </si>
  <si>
    <t>Maybe</t>
  </si>
  <si>
    <t>exclude</t>
  </si>
  <si>
    <t>include</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</si>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</sst>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7">
    <fill>
      <patternFill patternType="none"/>
    </fill>
    <fill>
      <patternFill patternType="gray125"/>
    </fill>
    <fill>
      <patternFill patternType="solid">
        <fgColor rgb="FF0078D4"/>
        <bgColor rgb="FF0078D4"/>
      </patternFill>
    </fill>
    <fill>
      <patternFill patternType="solid">
        <fgColor rgb="FF00B050"/>
        <bgColor rgb="FF00B050"/>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32"/>
  <sheetViews>
    <sheetView workbookViewId="0"/>
  </sheetViews>
  <sheetFormatPr defaultRowHeight="14.5" x14ac:dyDescent="0.35"/>
  <cols>
    <col min="1" max="1" width="90" customWidth="1"/>
  </cols>
  <sheetData>
    <row r="1" spans="1:1" ht="21" x14ac:dyDescent="0.55000000000000004">
      <c r="A1" s="1" t="s">
        <v>0</v>
      </c>
    </row>
    <row r="2" spans="1:1" ht="16.5" x14ac:dyDescent="0.45">
      <c r="A2" s="2"/>
    </row>
    <row r="3" spans="1:1" ht="16.5" x14ac:dyDescent="0.45">
      <c r="A3" s="3" t="s">
        <v>1</v>
      </c>
    </row>
    <row r="4" spans="1:1" ht="16.5" x14ac:dyDescent="0.45">
      <c r="A4" s="2" t="s">
        <v>2</v>
      </c>
    </row>
    <row r="5" spans="1:1" ht="16.5" x14ac:dyDescent="0.45">
      <c r="A5" s="2"/>
    </row>
    <row r="6" spans="1:1" ht="16.5" x14ac:dyDescent="0.45">
      <c r="A6" s="3" t="s">
        <v>3</v>
      </c>
    </row>
    <row r="7" spans="1:1" ht="16.5" x14ac:dyDescent="0.45">
      <c r="A7" s="2" t="s">
        <v>4</v>
      </c>
    </row>
    <row r="8" spans="1:1" ht="16.5" x14ac:dyDescent="0.45">
      <c r="A8" s="2"/>
    </row>
    <row r="9" spans="1:1" ht="16.5" x14ac:dyDescent="0.45">
      <c r="A9" s="3" t="s">
        <v>5</v>
      </c>
    </row>
    <row r="10" spans="1:1" ht="16.5" x14ac:dyDescent="0.45">
      <c r="A10" s="2" t="s">
        <v>6</v>
      </c>
    </row>
    <row r="11" spans="1:1" ht="16.5" x14ac:dyDescent="0.45">
      <c r="A11" s="2" t="s">
        <v>7</v>
      </c>
    </row>
    <row r="12" spans="1:1" ht="16.5" x14ac:dyDescent="0.45">
      <c r="A12" s="2" t="s">
        <v>8</v>
      </c>
    </row>
    <row r="13" spans="1:1" ht="16.5" x14ac:dyDescent="0.45">
      <c r="A13" s="2"/>
    </row>
    <row r="14" spans="1:1" ht="16.5" x14ac:dyDescent="0.45">
      <c r="A14" s="3" t="s">
        <v>9</v>
      </c>
    </row>
    <row r="15" spans="1:1" ht="16.5" x14ac:dyDescent="0.45">
      <c r="A15" s="2" t="s">
        <v>10</v>
      </c>
    </row>
    <row r="16" spans="1:1" ht="16.5" x14ac:dyDescent="0.45">
      <c r="A16" s="2" t="s">
        <v>11</v>
      </c>
    </row>
    <row r="17" spans="1:1" ht="16.5" x14ac:dyDescent="0.45">
      <c r="A17" s="2" t="s">
        <v>12</v>
      </c>
    </row>
    <row r="18" spans="1:1" ht="16.5" x14ac:dyDescent="0.45">
      <c r="A18" s="2" t="s">
        <v>13</v>
      </c>
    </row>
    <row r="19" spans="1:1" ht="16.5" x14ac:dyDescent="0.45">
      <c r="A19" s="2" t="s">
        <v>14</v>
      </c>
    </row>
    <row r="20" spans="1:1" ht="16.5" x14ac:dyDescent="0.45">
      <c r="A20" s="2" t="s">
        <v>15</v>
      </c>
    </row>
    <row r="21" spans="1:1" ht="16.5" x14ac:dyDescent="0.45">
      <c r="A21" s="2"/>
    </row>
    <row r="22" spans="1:1" ht="16.5" x14ac:dyDescent="0.45">
      <c r="A22" s="3" t="s">
        <v>16</v>
      </c>
    </row>
    <row r="23" spans="1:1" ht="16.5" x14ac:dyDescent="0.45">
      <c r="A23" s="2" t="s">
        <v>17</v>
      </c>
    </row>
    <row r="24" spans="1:1" ht="16.5" x14ac:dyDescent="0.45">
      <c r="A24" s="2" t="s">
        <v>18</v>
      </c>
    </row>
    <row r="25" spans="1:1" ht="16.5" x14ac:dyDescent="0.45">
      <c r="A25" s="2" t="s">
        <v>19</v>
      </c>
    </row>
    <row r="26" spans="1:1" ht="16.5" x14ac:dyDescent="0.45">
      <c r="A26" s="2" t="s">
        <v>20</v>
      </c>
    </row>
    <row r="27" spans="1:1" ht="16.5" x14ac:dyDescent="0.45">
      <c r="A27" s="2" t="s">
        <v>21</v>
      </c>
    </row>
    <row r="28" spans="1:1" ht="16.5" x14ac:dyDescent="0.45">
      <c r="A28" s="2"/>
    </row>
    <row r="29" spans="1:1" ht="16.5" x14ac:dyDescent="0.45">
      <c r="A29" s="3" t="s">
        <v>22</v>
      </c>
    </row>
    <row r="30" spans="1:1" ht="16.5" x14ac:dyDescent="0.45">
      <c r="A30" s="2"/>
    </row>
    <row r="31" spans="1:1" ht="16.5" x14ac:dyDescent="0.45">
      <c r="A31" s="3" t="s">
        <v>23</v>
      </c>
    </row>
    <row r="32" spans="1:1" ht="16.5" x14ac:dyDescent="0.45">
      <c r="A32" s="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L51"/>
  <sheetViews>
    <sheetView tabSelected="1" zoomScale="85" zoomScaleNormal="85" workbookViewId="0">
      <pane xSplit="2" ySplit="1" topLeftCell="G49" activePane="bottomRight" state="frozen"/>
      <selection pane="topRight"/>
      <selection pane="bottomLeft"/>
      <selection pane="bottomRight" activeCell="L50" sqref="L50"/>
    </sheetView>
  </sheetViews>
  <sheetFormatPr defaultRowHeight="14.5" x14ac:dyDescent="0.35"/>
  <cols>
    <col min="1" max="1" width="5" customWidth="1"/>
    <col min="2" max="2" width="14" customWidth="1"/>
    <col min="3" max="3" width="50" customWidth="1"/>
    <col min="4" max="4" width="30" customWidth="1"/>
    <col min="5" max="5" width="7" customWidth="1"/>
    <col min="6" max="6" width="22" customWidth="1"/>
    <col min="7" max="7" width="70" customWidth="1"/>
    <col min="8" max="8" width="12" customWidth="1"/>
    <col min="9" max="10" width="18" customWidth="1"/>
    <col min="11" max="11" width="16" customWidth="1"/>
    <col min="12" max="12" width="30" customWidth="1"/>
  </cols>
  <sheetData>
    <row r="1" spans="1:12" ht="33" x14ac:dyDescent="0.35">
      <c r="A1" s="4" t="s">
        <v>25</v>
      </c>
      <c r="B1" s="4" t="s">
        <v>26</v>
      </c>
      <c r="C1" s="4" t="s">
        <v>27</v>
      </c>
      <c r="D1" s="4" t="s">
        <v>28</v>
      </c>
      <c r="E1" s="4" t="s">
        <v>29</v>
      </c>
      <c r="F1" s="4" t="s">
        <v>30</v>
      </c>
      <c r="G1" s="4" t="s">
        <v>31</v>
      </c>
      <c r="H1" s="4" t="s">
        <v>32</v>
      </c>
      <c r="I1" s="4" t="s">
        <v>33</v>
      </c>
      <c r="J1" s="4" t="s">
        <v>34</v>
      </c>
      <c r="K1" s="4" t="s">
        <v>35</v>
      </c>
      <c r="L1" s="4" t="s">
        <v>36</v>
      </c>
    </row>
    <row r="2" spans="1:12" ht="368" x14ac:dyDescent="0.35">
      <c r="A2" s="5">
        <v>1</v>
      </c>
      <c r="B2" s="5" t="s">
        <v>37</v>
      </c>
      <c r="C2" s="5" t="s">
        <v>38</v>
      </c>
      <c r="D2" s="5" t="s">
        <v>39</v>
      </c>
      <c r="E2" s="5" t="s">
        <v>40</v>
      </c>
      <c r="F2" s="5" t="s">
        <v>41</v>
      </c>
      <c r="G2" s="5" t="s">
        <v>42</v>
      </c>
      <c r="H2" s="5" t="s">
        <v>43</v>
      </c>
      <c r="I2" s="9" t="s">
        <v>283</v>
      </c>
      <c r="J2" s="9" t="s">
        <v>283</v>
      </c>
      <c r="K2" s="9" t="s">
        <v>283</v>
      </c>
      <c r="L2" s="5"/>
    </row>
    <row r="3" spans="1:12" ht="176" x14ac:dyDescent="0.35">
      <c r="A3" s="5">
        <v>2</v>
      </c>
      <c r="B3" s="5" t="s">
        <v>44</v>
      </c>
      <c r="C3" s="5" t="s">
        <v>45</v>
      </c>
      <c r="D3" s="5" t="s">
        <v>46</v>
      </c>
      <c r="E3" s="5" t="s">
        <v>47</v>
      </c>
      <c r="F3" s="5"/>
      <c r="G3" s="5" t="s">
        <v>48</v>
      </c>
      <c r="H3" s="5" t="s">
        <v>49</v>
      </c>
      <c r="I3" s="10" t="s">
        <v>284</v>
      </c>
      <c r="J3" s="10" t="s">
        <v>284</v>
      </c>
      <c r="K3" s="10" t="s">
        <v>284</v>
      </c>
      <c r="L3" s="5"/>
    </row>
    <row r="4" spans="1:12" ht="192" x14ac:dyDescent="0.35">
      <c r="A4" s="5">
        <v>3</v>
      </c>
      <c r="B4" s="5" t="s">
        <v>50</v>
      </c>
      <c r="C4" s="5" t="s">
        <v>51</v>
      </c>
      <c r="D4" s="5" t="s">
        <v>52</v>
      </c>
      <c r="E4" s="5" t="s">
        <v>53</v>
      </c>
      <c r="F4" s="5" t="s">
        <v>54</v>
      </c>
      <c r="G4" s="5" t="s">
        <v>55</v>
      </c>
      <c r="H4" s="5" t="s">
        <v>49</v>
      </c>
      <c r="I4" s="10" t="s">
        <v>284</v>
      </c>
      <c r="J4" s="10" t="s">
        <v>284</v>
      </c>
      <c r="K4" s="10" t="s">
        <v>284</v>
      </c>
      <c r="L4" s="5"/>
    </row>
    <row r="5" spans="1:12" ht="352" x14ac:dyDescent="0.35">
      <c r="A5" s="5">
        <v>4</v>
      </c>
      <c r="B5" s="5" t="s">
        <v>56</v>
      </c>
      <c r="C5" s="5" t="s">
        <v>57</v>
      </c>
      <c r="D5" s="5" t="s">
        <v>58</v>
      </c>
      <c r="E5" s="5" t="s">
        <v>59</v>
      </c>
      <c r="F5" s="5" t="s">
        <v>60</v>
      </c>
      <c r="G5" s="5" t="s">
        <v>61</v>
      </c>
      <c r="H5" s="5" t="s">
        <v>62</v>
      </c>
      <c r="I5" s="10" t="s">
        <v>284</v>
      </c>
      <c r="J5" s="10" t="s">
        <v>284</v>
      </c>
      <c r="K5" s="10" t="s">
        <v>284</v>
      </c>
      <c r="L5" s="5"/>
    </row>
    <row r="6" spans="1:12" ht="176" x14ac:dyDescent="0.35">
      <c r="A6" s="5">
        <v>5</v>
      </c>
      <c r="B6" s="5" t="s">
        <v>63</v>
      </c>
      <c r="C6" s="5" t="s">
        <v>64</v>
      </c>
      <c r="D6" s="5" t="s">
        <v>65</v>
      </c>
      <c r="E6" s="5" t="s">
        <v>40</v>
      </c>
      <c r="F6" s="5" t="s">
        <v>66</v>
      </c>
      <c r="G6" s="5" t="s">
        <v>67</v>
      </c>
      <c r="H6" s="5" t="s">
        <v>62</v>
      </c>
      <c r="I6" s="10" t="s">
        <v>284</v>
      </c>
      <c r="J6" s="10" t="s">
        <v>284</v>
      </c>
      <c r="K6" s="10" t="s">
        <v>284</v>
      </c>
      <c r="L6" s="5"/>
    </row>
    <row r="7" spans="1:12" ht="272" x14ac:dyDescent="0.35">
      <c r="A7" s="5">
        <v>6</v>
      </c>
      <c r="B7" s="5" t="s">
        <v>68</v>
      </c>
      <c r="C7" s="5" t="s">
        <v>69</v>
      </c>
      <c r="D7" s="5" t="s">
        <v>70</v>
      </c>
      <c r="E7" s="5" t="s">
        <v>40</v>
      </c>
      <c r="F7" s="5" t="s">
        <v>71</v>
      </c>
      <c r="G7" s="5" t="s">
        <v>72</v>
      </c>
      <c r="H7" s="5" t="s">
        <v>62</v>
      </c>
      <c r="I7" s="9" t="s">
        <v>283</v>
      </c>
      <c r="J7" s="9" t="s">
        <v>283</v>
      </c>
      <c r="K7" s="9" t="s">
        <v>283</v>
      </c>
      <c r="L7" s="5"/>
    </row>
    <row r="8" spans="1:12" ht="240" x14ac:dyDescent="0.35">
      <c r="A8" s="5">
        <v>7</v>
      </c>
      <c r="B8" s="5" t="s">
        <v>73</v>
      </c>
      <c r="C8" s="5" t="s">
        <v>74</v>
      </c>
      <c r="D8" s="5" t="s">
        <v>75</v>
      </c>
      <c r="E8" s="5" t="s">
        <v>47</v>
      </c>
      <c r="F8" s="5" t="s">
        <v>76</v>
      </c>
      <c r="G8" s="5" t="s">
        <v>77</v>
      </c>
      <c r="H8" s="5" t="s">
        <v>49</v>
      </c>
      <c r="I8" s="10" t="s">
        <v>284</v>
      </c>
      <c r="J8" s="10" t="s">
        <v>284</v>
      </c>
      <c r="K8" s="10" t="s">
        <v>284</v>
      </c>
      <c r="L8" s="5"/>
    </row>
    <row r="9" spans="1:12" ht="144" x14ac:dyDescent="0.35">
      <c r="A9" s="5">
        <v>8</v>
      </c>
      <c r="B9" s="5" t="s">
        <v>78</v>
      </c>
      <c r="C9" s="5" t="s">
        <v>79</v>
      </c>
      <c r="D9" s="5" t="s">
        <v>80</v>
      </c>
      <c r="E9" s="5" t="s">
        <v>81</v>
      </c>
      <c r="F9" s="5"/>
      <c r="G9" s="5" t="s">
        <v>82</v>
      </c>
      <c r="H9" s="5" t="s">
        <v>49</v>
      </c>
      <c r="I9" s="9" t="s">
        <v>283</v>
      </c>
      <c r="J9" s="9" t="s">
        <v>283</v>
      </c>
      <c r="K9" s="9" t="s">
        <v>283</v>
      </c>
      <c r="L9" s="5"/>
    </row>
    <row r="10" spans="1:12" ht="288" x14ac:dyDescent="0.35">
      <c r="A10" s="5">
        <v>9</v>
      </c>
      <c r="B10" s="5" t="s">
        <v>83</v>
      </c>
      <c r="C10" s="5" t="s">
        <v>84</v>
      </c>
      <c r="D10" s="5" t="s">
        <v>85</v>
      </c>
      <c r="E10" s="5" t="s">
        <v>40</v>
      </c>
      <c r="F10" s="5" t="s">
        <v>86</v>
      </c>
      <c r="G10" s="5" t="s">
        <v>87</v>
      </c>
      <c r="H10" s="5" t="s">
        <v>43</v>
      </c>
      <c r="I10" s="10" t="s">
        <v>284</v>
      </c>
      <c r="J10" s="10" t="s">
        <v>284</v>
      </c>
      <c r="K10" s="10" t="s">
        <v>284</v>
      </c>
      <c r="L10" s="5"/>
    </row>
    <row r="11" spans="1:12" ht="320" x14ac:dyDescent="0.35">
      <c r="A11" s="5">
        <v>10</v>
      </c>
      <c r="B11" s="5" t="s">
        <v>88</v>
      </c>
      <c r="C11" s="5" t="s">
        <v>89</v>
      </c>
      <c r="D11" s="5" t="s">
        <v>90</v>
      </c>
      <c r="E11" s="5" t="s">
        <v>91</v>
      </c>
      <c r="F11" s="5"/>
      <c r="G11" s="5" t="s">
        <v>92</v>
      </c>
      <c r="H11" s="5" t="s">
        <v>49</v>
      </c>
      <c r="I11" s="10" t="s">
        <v>284</v>
      </c>
      <c r="J11" s="10" t="s">
        <v>284</v>
      </c>
      <c r="K11" s="10" t="s">
        <v>284</v>
      </c>
      <c r="L11" s="5"/>
    </row>
    <row r="12" spans="1:12" ht="240" x14ac:dyDescent="0.35">
      <c r="A12" s="5">
        <v>11</v>
      </c>
      <c r="B12" s="5" t="s">
        <v>93</v>
      </c>
      <c r="C12" s="5" t="s">
        <v>94</v>
      </c>
      <c r="D12" s="5" t="s">
        <v>95</v>
      </c>
      <c r="E12" s="5" t="s">
        <v>40</v>
      </c>
      <c r="F12" s="5" t="s">
        <v>96</v>
      </c>
      <c r="G12" s="5" t="s">
        <v>97</v>
      </c>
      <c r="H12" s="5" t="s">
        <v>43</v>
      </c>
      <c r="I12" s="10" t="s">
        <v>284</v>
      </c>
      <c r="J12" s="10" t="s">
        <v>284</v>
      </c>
      <c r="K12" s="10" t="s">
        <v>284</v>
      </c>
      <c r="L12" s="5"/>
    </row>
    <row r="13" spans="1:12" ht="32" x14ac:dyDescent="0.35">
      <c r="A13" s="5">
        <v>12</v>
      </c>
      <c r="B13" s="5" t="s">
        <v>98</v>
      </c>
      <c r="C13" s="5" t="s">
        <v>99</v>
      </c>
      <c r="D13" s="5" t="s">
        <v>100</v>
      </c>
      <c r="E13" s="5" t="s">
        <v>47</v>
      </c>
      <c r="F13" s="5" t="s">
        <v>101</v>
      </c>
      <c r="G13" s="5"/>
      <c r="H13" s="5" t="s">
        <v>102</v>
      </c>
      <c r="I13" s="11" t="s">
        <v>285</v>
      </c>
      <c r="J13" s="11" t="s">
        <v>285</v>
      </c>
      <c r="K13" s="9" t="s">
        <v>283</v>
      </c>
      <c r="L13" s="5"/>
    </row>
    <row r="14" spans="1:12" ht="320" x14ac:dyDescent="0.35">
      <c r="A14" s="5">
        <v>13</v>
      </c>
      <c r="B14" s="5" t="s">
        <v>103</v>
      </c>
      <c r="C14" s="5" t="s">
        <v>104</v>
      </c>
      <c r="D14" s="5" t="s">
        <v>105</v>
      </c>
      <c r="E14" s="5" t="s">
        <v>106</v>
      </c>
      <c r="F14" s="5"/>
      <c r="G14" s="5" t="s">
        <v>107</v>
      </c>
      <c r="H14" s="5" t="s">
        <v>49</v>
      </c>
      <c r="I14" s="10" t="s">
        <v>284</v>
      </c>
      <c r="J14" s="10" t="s">
        <v>284</v>
      </c>
      <c r="K14" s="10" t="s">
        <v>284</v>
      </c>
      <c r="L14" s="5"/>
    </row>
    <row r="15" spans="1:12" ht="256" x14ac:dyDescent="0.35">
      <c r="A15" s="5">
        <v>14</v>
      </c>
      <c r="B15" s="5" t="s">
        <v>108</v>
      </c>
      <c r="C15" s="5" t="s">
        <v>109</v>
      </c>
      <c r="D15" s="5" t="s">
        <v>110</v>
      </c>
      <c r="E15" s="5" t="s">
        <v>40</v>
      </c>
      <c r="F15" s="5"/>
      <c r="G15" s="5" t="s">
        <v>111</v>
      </c>
      <c r="H15" s="5" t="s">
        <v>49</v>
      </c>
      <c r="I15" s="10" t="s">
        <v>284</v>
      </c>
      <c r="J15" s="10" t="s">
        <v>284</v>
      </c>
      <c r="K15" s="10" t="s">
        <v>284</v>
      </c>
      <c r="L15" s="5"/>
    </row>
    <row r="16" spans="1:12" ht="240" x14ac:dyDescent="0.35">
      <c r="A16" s="5">
        <v>15</v>
      </c>
      <c r="B16" s="5" t="s">
        <v>112</v>
      </c>
      <c r="C16" s="5" t="s">
        <v>113</v>
      </c>
      <c r="D16" s="5" t="s">
        <v>114</v>
      </c>
      <c r="E16" s="5" t="s">
        <v>91</v>
      </c>
      <c r="F16" s="5" t="s">
        <v>115</v>
      </c>
      <c r="G16" s="5" t="s">
        <v>116</v>
      </c>
      <c r="H16" s="5" t="s">
        <v>49</v>
      </c>
      <c r="I16" s="10" t="s">
        <v>284</v>
      </c>
      <c r="J16" s="10" t="s">
        <v>284</v>
      </c>
      <c r="K16" s="10" t="s">
        <v>284</v>
      </c>
      <c r="L16" s="5"/>
    </row>
    <row r="17" spans="1:12" ht="176" x14ac:dyDescent="0.35">
      <c r="A17" s="5">
        <v>16</v>
      </c>
      <c r="B17" s="5" t="s">
        <v>117</v>
      </c>
      <c r="C17" s="5" t="s">
        <v>118</v>
      </c>
      <c r="D17" s="5" t="s">
        <v>119</v>
      </c>
      <c r="E17" s="5" t="s">
        <v>120</v>
      </c>
      <c r="F17" s="5" t="s">
        <v>121</v>
      </c>
      <c r="G17" s="5" t="s">
        <v>122</v>
      </c>
      <c r="H17" s="5" t="s">
        <v>62</v>
      </c>
      <c r="I17" s="10" t="s">
        <v>284</v>
      </c>
      <c r="J17" s="10" t="s">
        <v>284</v>
      </c>
      <c r="K17" s="10" t="s">
        <v>284</v>
      </c>
      <c r="L17" s="5"/>
    </row>
    <row r="18" spans="1:12" ht="409.5" x14ac:dyDescent="0.35">
      <c r="A18" s="5">
        <v>17</v>
      </c>
      <c r="B18" s="5" t="s">
        <v>123</v>
      </c>
      <c r="C18" s="5" t="s">
        <v>124</v>
      </c>
      <c r="D18" s="5" t="s">
        <v>125</v>
      </c>
      <c r="E18" s="5" t="s">
        <v>40</v>
      </c>
      <c r="F18" s="5" t="s">
        <v>126</v>
      </c>
      <c r="G18" s="5" t="s">
        <v>127</v>
      </c>
      <c r="H18" s="5" t="s">
        <v>62</v>
      </c>
      <c r="I18" s="10" t="s">
        <v>284</v>
      </c>
      <c r="J18" s="10" t="s">
        <v>284</v>
      </c>
      <c r="K18" s="10" t="s">
        <v>284</v>
      </c>
      <c r="L18" s="5"/>
    </row>
    <row r="19" spans="1:12" ht="32" x14ac:dyDescent="0.35">
      <c r="A19" s="5">
        <v>18</v>
      </c>
      <c r="B19" s="5" t="s">
        <v>128</v>
      </c>
      <c r="C19" s="5" t="s">
        <v>129</v>
      </c>
      <c r="D19" s="5" t="s">
        <v>130</v>
      </c>
      <c r="E19" s="5" t="s">
        <v>131</v>
      </c>
      <c r="F19" s="5"/>
      <c r="G19" s="5"/>
      <c r="H19" s="5" t="s">
        <v>102</v>
      </c>
      <c r="I19" s="9" t="s">
        <v>283</v>
      </c>
      <c r="J19" s="9" t="s">
        <v>283</v>
      </c>
      <c r="K19" s="9" t="s">
        <v>283</v>
      </c>
      <c r="L19" s="5"/>
    </row>
    <row r="20" spans="1:12" ht="304" x14ac:dyDescent="0.35">
      <c r="A20" s="5">
        <v>19</v>
      </c>
      <c r="B20" s="5" t="s">
        <v>132</v>
      </c>
      <c r="C20" s="5" t="s">
        <v>133</v>
      </c>
      <c r="D20" s="5" t="s">
        <v>134</v>
      </c>
      <c r="E20" s="5" t="s">
        <v>40</v>
      </c>
      <c r="F20" s="5" t="s">
        <v>135</v>
      </c>
      <c r="G20" s="5" t="s">
        <v>136</v>
      </c>
      <c r="H20" s="5" t="s">
        <v>43</v>
      </c>
      <c r="I20" s="10" t="s">
        <v>284</v>
      </c>
      <c r="J20" s="10" t="s">
        <v>284</v>
      </c>
      <c r="K20" s="10" t="s">
        <v>284</v>
      </c>
      <c r="L20" s="5"/>
    </row>
    <row r="21" spans="1:12" ht="256" x14ac:dyDescent="0.35">
      <c r="A21" s="5">
        <v>20</v>
      </c>
      <c r="B21" s="5" t="s">
        <v>137</v>
      </c>
      <c r="C21" s="5" t="s">
        <v>138</v>
      </c>
      <c r="D21" s="5" t="s">
        <v>139</v>
      </c>
      <c r="E21" s="5" t="s">
        <v>91</v>
      </c>
      <c r="F21" s="5" t="s">
        <v>140</v>
      </c>
      <c r="G21" s="5" t="s">
        <v>141</v>
      </c>
      <c r="H21" s="5" t="s">
        <v>49</v>
      </c>
      <c r="I21" s="10" t="s">
        <v>284</v>
      </c>
      <c r="J21" s="10" t="s">
        <v>284</v>
      </c>
      <c r="K21" s="10" t="s">
        <v>284</v>
      </c>
      <c r="L21" s="5"/>
    </row>
    <row r="22" spans="1:12" ht="409.5" x14ac:dyDescent="0.35">
      <c r="A22" s="5">
        <v>21</v>
      </c>
      <c r="B22" s="5" t="s">
        <v>142</v>
      </c>
      <c r="C22" s="5" t="s">
        <v>143</v>
      </c>
      <c r="D22" s="5" t="s">
        <v>144</v>
      </c>
      <c r="E22" s="5" t="s">
        <v>53</v>
      </c>
      <c r="F22" s="5" t="s">
        <v>145</v>
      </c>
      <c r="G22" s="5" t="s">
        <v>146</v>
      </c>
      <c r="H22" s="5" t="s">
        <v>43</v>
      </c>
      <c r="I22" s="10" t="s">
        <v>284</v>
      </c>
      <c r="J22" s="10" t="s">
        <v>284</v>
      </c>
      <c r="K22" s="10" t="s">
        <v>284</v>
      </c>
      <c r="L22" s="5"/>
    </row>
    <row r="23" spans="1:12" ht="192" x14ac:dyDescent="0.35">
      <c r="A23" s="5">
        <v>22</v>
      </c>
      <c r="B23" s="5" t="s">
        <v>147</v>
      </c>
      <c r="C23" s="5" t="s">
        <v>148</v>
      </c>
      <c r="D23" s="5" t="s">
        <v>149</v>
      </c>
      <c r="E23" s="5" t="s">
        <v>91</v>
      </c>
      <c r="F23" s="5" t="s">
        <v>150</v>
      </c>
      <c r="G23" s="5" t="s">
        <v>151</v>
      </c>
      <c r="H23" s="5" t="s">
        <v>62</v>
      </c>
      <c r="I23" s="10" t="s">
        <v>284</v>
      </c>
      <c r="J23" s="10" t="s">
        <v>284</v>
      </c>
      <c r="K23" s="10" t="s">
        <v>284</v>
      </c>
      <c r="L23" s="5"/>
    </row>
    <row r="24" spans="1:12" ht="32" x14ac:dyDescent="0.35">
      <c r="A24" s="5">
        <v>23</v>
      </c>
      <c r="B24" s="5" t="s">
        <v>152</v>
      </c>
      <c r="C24" s="5" t="s">
        <v>153</v>
      </c>
      <c r="D24" s="5" t="s">
        <v>154</v>
      </c>
      <c r="E24" s="5" t="s">
        <v>47</v>
      </c>
      <c r="F24" s="5" t="s">
        <v>155</v>
      </c>
      <c r="G24" s="5"/>
      <c r="H24" s="5" t="s">
        <v>43</v>
      </c>
      <c r="I24" s="10" t="s">
        <v>284</v>
      </c>
      <c r="J24" s="10" t="s">
        <v>284</v>
      </c>
      <c r="K24" s="10" t="s">
        <v>284</v>
      </c>
      <c r="L24" s="5"/>
    </row>
    <row r="25" spans="1:12" ht="336" x14ac:dyDescent="0.35">
      <c r="A25" s="5">
        <v>24</v>
      </c>
      <c r="B25" s="5" t="s">
        <v>156</v>
      </c>
      <c r="C25" s="5" t="s">
        <v>157</v>
      </c>
      <c r="D25" s="5" t="s">
        <v>158</v>
      </c>
      <c r="E25" s="5" t="s">
        <v>40</v>
      </c>
      <c r="F25" s="5" t="s">
        <v>159</v>
      </c>
      <c r="G25" s="5" t="s">
        <v>160</v>
      </c>
      <c r="H25" s="5" t="s">
        <v>43</v>
      </c>
      <c r="I25" s="9" t="s">
        <v>283</v>
      </c>
      <c r="J25" s="9" t="s">
        <v>283</v>
      </c>
      <c r="K25" s="9" t="s">
        <v>283</v>
      </c>
      <c r="L25" s="5"/>
    </row>
    <row r="26" spans="1:12" ht="32" x14ac:dyDescent="0.35">
      <c r="A26" s="5">
        <v>25</v>
      </c>
      <c r="B26" s="5" t="s">
        <v>161</v>
      </c>
      <c r="C26" s="5" t="s">
        <v>162</v>
      </c>
      <c r="D26" s="5" t="s">
        <v>163</v>
      </c>
      <c r="E26" s="5" t="s">
        <v>47</v>
      </c>
      <c r="F26" s="5" t="s">
        <v>164</v>
      </c>
      <c r="G26" s="5"/>
      <c r="H26" s="5" t="s">
        <v>102</v>
      </c>
      <c r="I26" s="10" t="s">
        <v>284</v>
      </c>
      <c r="J26" s="10" t="s">
        <v>284</v>
      </c>
      <c r="K26" s="10" t="s">
        <v>284</v>
      </c>
      <c r="L26" s="5"/>
    </row>
    <row r="27" spans="1:12" ht="48" x14ac:dyDescent="0.35">
      <c r="A27" s="5">
        <v>26</v>
      </c>
      <c r="B27" s="5" t="s">
        <v>165</v>
      </c>
      <c r="C27" s="5" t="s">
        <v>166</v>
      </c>
      <c r="D27" s="5" t="s">
        <v>167</v>
      </c>
      <c r="E27" s="5" t="s">
        <v>168</v>
      </c>
      <c r="F27" s="5" t="s">
        <v>169</v>
      </c>
      <c r="G27" s="5"/>
      <c r="H27" s="5" t="s">
        <v>62</v>
      </c>
      <c r="I27" s="9" t="s">
        <v>283</v>
      </c>
      <c r="J27" s="9" t="s">
        <v>283</v>
      </c>
      <c r="K27" s="9" t="s">
        <v>283</v>
      </c>
      <c r="L27" s="5"/>
    </row>
    <row r="28" spans="1:12" ht="32" x14ac:dyDescent="0.35">
      <c r="A28" s="5">
        <v>27</v>
      </c>
      <c r="B28" s="5" t="s">
        <v>170</v>
      </c>
      <c r="C28" s="5" t="s">
        <v>171</v>
      </c>
      <c r="D28" s="5" t="s">
        <v>172</v>
      </c>
      <c r="E28" s="5" t="s">
        <v>91</v>
      </c>
      <c r="F28" s="5" t="s">
        <v>173</v>
      </c>
      <c r="G28" s="5"/>
      <c r="H28" s="5" t="s">
        <v>102</v>
      </c>
      <c r="I28" s="10" t="s">
        <v>284</v>
      </c>
      <c r="J28" s="10" t="s">
        <v>284</v>
      </c>
      <c r="K28" s="10" t="s">
        <v>284</v>
      </c>
      <c r="L28" s="5"/>
    </row>
    <row r="29" spans="1:12" ht="409.5" x14ac:dyDescent="0.35">
      <c r="A29" s="5">
        <v>28</v>
      </c>
      <c r="B29" s="5" t="s">
        <v>174</v>
      </c>
      <c r="C29" s="5" t="s">
        <v>175</v>
      </c>
      <c r="D29" s="5" t="s">
        <v>176</v>
      </c>
      <c r="E29" s="5" t="s">
        <v>53</v>
      </c>
      <c r="F29" s="5" t="s">
        <v>177</v>
      </c>
      <c r="G29" s="5" t="s">
        <v>178</v>
      </c>
      <c r="H29" s="5" t="s">
        <v>43</v>
      </c>
      <c r="I29" s="9" t="s">
        <v>283</v>
      </c>
      <c r="J29" s="9" t="s">
        <v>283</v>
      </c>
      <c r="K29" s="9" t="s">
        <v>283</v>
      </c>
      <c r="L29" s="5"/>
    </row>
    <row r="30" spans="1:12" ht="409.5" x14ac:dyDescent="0.35">
      <c r="A30" s="5">
        <v>29</v>
      </c>
      <c r="B30" s="5" t="s">
        <v>179</v>
      </c>
      <c r="C30" s="5" t="s">
        <v>180</v>
      </c>
      <c r="D30" s="5" t="s">
        <v>181</v>
      </c>
      <c r="E30" s="5" t="s">
        <v>131</v>
      </c>
      <c r="F30" s="5"/>
      <c r="G30" s="5" t="s">
        <v>182</v>
      </c>
      <c r="H30" s="5" t="s">
        <v>62</v>
      </c>
      <c r="I30" s="10" t="s">
        <v>284</v>
      </c>
      <c r="J30" s="10" t="s">
        <v>284</v>
      </c>
      <c r="K30" s="10" t="s">
        <v>284</v>
      </c>
      <c r="L30" s="5"/>
    </row>
    <row r="31" spans="1:12" ht="192" x14ac:dyDescent="0.35">
      <c r="A31" s="5">
        <v>30</v>
      </c>
      <c r="B31" s="5" t="s">
        <v>183</v>
      </c>
      <c r="C31" s="5" t="s">
        <v>184</v>
      </c>
      <c r="D31" s="5" t="s">
        <v>185</v>
      </c>
      <c r="E31" s="5" t="s">
        <v>120</v>
      </c>
      <c r="F31" s="5"/>
      <c r="G31" s="5" t="s">
        <v>186</v>
      </c>
      <c r="H31" s="5" t="s">
        <v>49</v>
      </c>
      <c r="I31" s="10" t="s">
        <v>284</v>
      </c>
      <c r="J31" s="10" t="s">
        <v>284</v>
      </c>
      <c r="K31" s="10" t="s">
        <v>284</v>
      </c>
      <c r="L31" s="5"/>
    </row>
    <row r="32" spans="1:12" ht="144" x14ac:dyDescent="0.35">
      <c r="A32" s="5">
        <v>31</v>
      </c>
      <c r="B32" s="5" t="s">
        <v>187</v>
      </c>
      <c r="C32" s="5" t="s">
        <v>188</v>
      </c>
      <c r="D32" s="5" t="s">
        <v>189</v>
      </c>
      <c r="E32" s="5" t="s">
        <v>53</v>
      </c>
      <c r="F32" s="5" t="s">
        <v>190</v>
      </c>
      <c r="G32" s="5" t="s">
        <v>191</v>
      </c>
      <c r="H32" s="5" t="s">
        <v>49</v>
      </c>
      <c r="I32" s="9" t="s">
        <v>283</v>
      </c>
      <c r="J32" s="9" t="s">
        <v>283</v>
      </c>
      <c r="K32" s="9" t="s">
        <v>283</v>
      </c>
      <c r="L32" s="5"/>
    </row>
    <row r="33" spans="1:12" ht="32" x14ac:dyDescent="0.35">
      <c r="A33" s="5">
        <v>32</v>
      </c>
      <c r="B33" s="5" t="s">
        <v>192</v>
      </c>
      <c r="C33" s="5" t="s">
        <v>193</v>
      </c>
      <c r="D33" s="5" t="s">
        <v>194</v>
      </c>
      <c r="E33" s="5" t="s">
        <v>47</v>
      </c>
      <c r="F33" s="5" t="s">
        <v>195</v>
      </c>
      <c r="G33" s="5"/>
      <c r="H33" s="5" t="s">
        <v>102</v>
      </c>
      <c r="I33" s="9" t="s">
        <v>283</v>
      </c>
      <c r="J33" s="9" t="s">
        <v>283</v>
      </c>
      <c r="K33" s="9" t="s">
        <v>283</v>
      </c>
      <c r="L33" s="5"/>
    </row>
    <row r="34" spans="1:12" ht="32" x14ac:dyDescent="0.35">
      <c r="A34" s="5">
        <v>33</v>
      </c>
      <c r="B34" s="5" t="s">
        <v>196</v>
      </c>
      <c r="C34" s="5" t="s">
        <v>197</v>
      </c>
      <c r="D34" s="5" t="s">
        <v>198</v>
      </c>
      <c r="E34" s="5" t="s">
        <v>40</v>
      </c>
      <c r="F34" s="5" t="s">
        <v>199</v>
      </c>
      <c r="G34" s="5"/>
      <c r="H34" s="5" t="s">
        <v>102</v>
      </c>
      <c r="I34" s="9" t="s">
        <v>283</v>
      </c>
      <c r="J34" s="9" t="s">
        <v>283</v>
      </c>
      <c r="K34" s="9" t="s">
        <v>283</v>
      </c>
      <c r="L34" s="5"/>
    </row>
    <row r="35" spans="1:12" ht="409.5" x14ac:dyDescent="0.35">
      <c r="A35" s="5">
        <v>34</v>
      </c>
      <c r="B35" s="5" t="s">
        <v>200</v>
      </c>
      <c r="C35" s="5" t="s">
        <v>201</v>
      </c>
      <c r="D35" s="5" t="s">
        <v>202</v>
      </c>
      <c r="E35" s="5" t="s">
        <v>40</v>
      </c>
      <c r="F35" s="5" t="s">
        <v>203</v>
      </c>
      <c r="G35" s="5" t="s">
        <v>204</v>
      </c>
      <c r="H35" s="5" t="s">
        <v>62</v>
      </c>
      <c r="I35" s="10" t="s">
        <v>284</v>
      </c>
      <c r="J35" s="10" t="s">
        <v>284</v>
      </c>
      <c r="K35" s="10" t="s">
        <v>284</v>
      </c>
      <c r="L35" s="5"/>
    </row>
    <row r="36" spans="1:12" ht="208" x14ac:dyDescent="0.35">
      <c r="A36" s="5">
        <v>35</v>
      </c>
      <c r="B36" s="5" t="s">
        <v>205</v>
      </c>
      <c r="C36" s="5" t="s">
        <v>206</v>
      </c>
      <c r="D36" s="5" t="s">
        <v>207</v>
      </c>
      <c r="E36" s="5" t="s">
        <v>47</v>
      </c>
      <c r="F36" s="5"/>
      <c r="G36" s="5" t="s">
        <v>208</v>
      </c>
      <c r="H36" s="5" t="s">
        <v>49</v>
      </c>
      <c r="I36" s="10" t="s">
        <v>284</v>
      </c>
      <c r="J36" s="10" t="s">
        <v>284</v>
      </c>
      <c r="K36" s="10" t="s">
        <v>284</v>
      </c>
      <c r="L36" s="5"/>
    </row>
    <row r="37" spans="1:12" ht="352" x14ac:dyDescent="0.35">
      <c r="A37" s="5">
        <v>36</v>
      </c>
      <c r="B37" s="5" t="s">
        <v>209</v>
      </c>
      <c r="C37" s="5" t="s">
        <v>210</v>
      </c>
      <c r="D37" s="5" t="s">
        <v>211</v>
      </c>
      <c r="E37" s="5" t="s">
        <v>59</v>
      </c>
      <c r="F37" s="5" t="s">
        <v>212</v>
      </c>
      <c r="G37" s="5" t="s">
        <v>213</v>
      </c>
      <c r="H37" s="5" t="s">
        <v>62</v>
      </c>
      <c r="I37" s="10" t="s">
        <v>284</v>
      </c>
      <c r="J37" s="10" t="s">
        <v>284</v>
      </c>
      <c r="K37" s="10" t="s">
        <v>284</v>
      </c>
      <c r="L37" s="5"/>
    </row>
    <row r="38" spans="1:12" ht="32" x14ac:dyDescent="0.35">
      <c r="A38" s="5">
        <v>37</v>
      </c>
      <c r="B38" s="5" t="s">
        <v>214</v>
      </c>
      <c r="C38" s="5" t="s">
        <v>215</v>
      </c>
      <c r="D38" s="5" t="s">
        <v>216</v>
      </c>
      <c r="E38" s="5" t="s">
        <v>40</v>
      </c>
      <c r="F38" s="5"/>
      <c r="G38" s="5"/>
      <c r="H38" s="5" t="s">
        <v>102</v>
      </c>
      <c r="I38" s="10" t="s">
        <v>284</v>
      </c>
      <c r="J38" s="10" t="s">
        <v>284</v>
      </c>
      <c r="K38" s="10" t="s">
        <v>284</v>
      </c>
      <c r="L38" s="5"/>
    </row>
    <row r="39" spans="1:12" ht="304" x14ac:dyDescent="0.35">
      <c r="A39" s="5">
        <v>38</v>
      </c>
      <c r="B39" s="5" t="s">
        <v>217</v>
      </c>
      <c r="C39" s="5" t="s">
        <v>218</v>
      </c>
      <c r="D39" s="5" t="s">
        <v>219</v>
      </c>
      <c r="E39" s="5" t="s">
        <v>40</v>
      </c>
      <c r="F39" s="5"/>
      <c r="G39" s="5" t="s">
        <v>220</v>
      </c>
      <c r="H39" s="5" t="s">
        <v>49</v>
      </c>
      <c r="I39" s="10" t="s">
        <v>284</v>
      </c>
      <c r="J39" s="10" t="s">
        <v>284</v>
      </c>
      <c r="K39" s="10" t="s">
        <v>284</v>
      </c>
      <c r="L39" s="5"/>
    </row>
    <row r="40" spans="1:12" ht="336" x14ac:dyDescent="0.35">
      <c r="A40" s="5">
        <v>39</v>
      </c>
      <c r="B40" s="5" t="s">
        <v>221</v>
      </c>
      <c r="C40" s="5" t="s">
        <v>222</v>
      </c>
      <c r="D40" s="5" t="s">
        <v>223</v>
      </c>
      <c r="E40" s="5" t="s">
        <v>40</v>
      </c>
      <c r="F40" s="5"/>
      <c r="G40" s="5" t="s">
        <v>224</v>
      </c>
      <c r="H40" s="5" t="s">
        <v>49</v>
      </c>
      <c r="I40" s="10" t="s">
        <v>284</v>
      </c>
      <c r="J40" s="10" t="s">
        <v>284</v>
      </c>
      <c r="K40" s="10" t="s">
        <v>284</v>
      </c>
      <c r="L40" s="5"/>
    </row>
    <row r="41" spans="1:12" ht="32" x14ac:dyDescent="0.35">
      <c r="A41" s="5">
        <v>40</v>
      </c>
      <c r="B41" s="5" t="s">
        <v>225</v>
      </c>
      <c r="C41" s="5" t="s">
        <v>226</v>
      </c>
      <c r="D41" s="5" t="s">
        <v>227</v>
      </c>
      <c r="E41" s="5" t="s">
        <v>40</v>
      </c>
      <c r="F41" s="5" t="s">
        <v>228</v>
      </c>
      <c r="G41" s="5"/>
      <c r="H41" s="5" t="s">
        <v>102</v>
      </c>
      <c r="I41" s="9" t="s">
        <v>283</v>
      </c>
      <c r="J41" s="9" t="s">
        <v>283</v>
      </c>
      <c r="K41" s="9" t="s">
        <v>283</v>
      </c>
      <c r="L41" s="5"/>
    </row>
    <row r="42" spans="1:12" ht="240" x14ac:dyDescent="0.35">
      <c r="A42" s="5">
        <v>41</v>
      </c>
      <c r="B42" s="5" t="s">
        <v>229</v>
      </c>
      <c r="C42" s="5" t="s">
        <v>230</v>
      </c>
      <c r="D42" s="5" t="s">
        <v>231</v>
      </c>
      <c r="E42" s="5" t="s">
        <v>40</v>
      </c>
      <c r="F42" s="5"/>
      <c r="G42" s="5" t="s">
        <v>232</v>
      </c>
      <c r="H42" s="5" t="s">
        <v>49</v>
      </c>
      <c r="I42" s="10" t="s">
        <v>284</v>
      </c>
      <c r="J42" s="10" t="s">
        <v>284</v>
      </c>
      <c r="K42" s="10" t="s">
        <v>284</v>
      </c>
      <c r="L42" s="5"/>
    </row>
    <row r="43" spans="1:12" ht="32" x14ac:dyDescent="0.35">
      <c r="A43" s="5">
        <v>42</v>
      </c>
      <c r="B43" s="5" t="s">
        <v>233</v>
      </c>
      <c r="C43" s="5" t="s">
        <v>234</v>
      </c>
      <c r="D43" s="5" t="s">
        <v>235</v>
      </c>
      <c r="E43" s="5" t="s">
        <v>40</v>
      </c>
      <c r="F43" s="5" t="s">
        <v>236</v>
      </c>
      <c r="G43" s="5"/>
      <c r="H43" s="5" t="s">
        <v>102</v>
      </c>
      <c r="I43" s="10" t="s">
        <v>284</v>
      </c>
      <c r="J43" s="10" t="s">
        <v>284</v>
      </c>
      <c r="K43" s="10" t="s">
        <v>284</v>
      </c>
      <c r="L43" s="5"/>
    </row>
    <row r="44" spans="1:12" ht="48" x14ac:dyDescent="0.35">
      <c r="A44" s="5">
        <v>43</v>
      </c>
      <c r="B44" s="5" t="s">
        <v>237</v>
      </c>
      <c r="C44" s="5" t="s">
        <v>238</v>
      </c>
      <c r="D44" s="5" t="s">
        <v>239</v>
      </c>
      <c r="E44" s="5" t="s">
        <v>40</v>
      </c>
      <c r="F44" s="5" t="s">
        <v>240</v>
      </c>
      <c r="G44" s="5"/>
      <c r="H44" s="5" t="s">
        <v>102</v>
      </c>
      <c r="I44" s="9" t="s">
        <v>283</v>
      </c>
      <c r="J44" s="9" t="s">
        <v>283</v>
      </c>
      <c r="K44" s="9" t="s">
        <v>283</v>
      </c>
      <c r="L44" s="5"/>
    </row>
    <row r="45" spans="1:12" ht="176" x14ac:dyDescent="0.35">
      <c r="A45" s="5">
        <v>44</v>
      </c>
      <c r="B45" s="5" t="s">
        <v>241</v>
      </c>
      <c r="C45" s="5" t="s">
        <v>242</v>
      </c>
      <c r="D45" s="5" t="s">
        <v>243</v>
      </c>
      <c r="E45" s="5" t="s">
        <v>40</v>
      </c>
      <c r="F45" s="5" t="s">
        <v>244</v>
      </c>
      <c r="G45" s="5" t="s">
        <v>245</v>
      </c>
      <c r="H45" s="5" t="s">
        <v>43</v>
      </c>
      <c r="I45" s="10" t="s">
        <v>284</v>
      </c>
      <c r="J45" s="10" t="s">
        <v>284</v>
      </c>
      <c r="K45" s="10" t="s">
        <v>284</v>
      </c>
      <c r="L45" s="5"/>
    </row>
    <row r="46" spans="1:12" ht="32" x14ac:dyDescent="0.35">
      <c r="A46" s="5">
        <v>45</v>
      </c>
      <c r="B46" s="5" t="s">
        <v>246</v>
      </c>
      <c r="C46" s="5" t="s">
        <v>247</v>
      </c>
      <c r="D46" s="5" t="s">
        <v>248</v>
      </c>
      <c r="E46" s="5" t="s">
        <v>106</v>
      </c>
      <c r="F46" s="5" t="s">
        <v>249</v>
      </c>
      <c r="G46" s="5"/>
      <c r="H46" s="5" t="s">
        <v>62</v>
      </c>
      <c r="I46" s="9" t="s">
        <v>283</v>
      </c>
      <c r="J46" s="9" t="s">
        <v>283</v>
      </c>
      <c r="K46" s="9" t="s">
        <v>283</v>
      </c>
      <c r="L46" s="5"/>
    </row>
    <row r="47" spans="1:12" ht="272" x14ac:dyDescent="0.35">
      <c r="A47" s="5">
        <v>46</v>
      </c>
      <c r="B47" s="5" t="s">
        <v>250</v>
      </c>
      <c r="C47" s="5" t="s">
        <v>251</v>
      </c>
      <c r="D47" s="5" t="s">
        <v>252</v>
      </c>
      <c r="E47" s="5" t="s">
        <v>40</v>
      </c>
      <c r="F47" s="5" t="s">
        <v>253</v>
      </c>
      <c r="G47" s="5" t="s">
        <v>254</v>
      </c>
      <c r="H47" s="5" t="s">
        <v>49</v>
      </c>
      <c r="I47" s="10" t="s">
        <v>284</v>
      </c>
      <c r="J47" s="10" t="s">
        <v>284</v>
      </c>
      <c r="K47" s="10" t="s">
        <v>284</v>
      </c>
      <c r="L47" s="5"/>
    </row>
    <row r="48" spans="1:12" ht="48" x14ac:dyDescent="0.35">
      <c r="A48" s="5">
        <v>47</v>
      </c>
      <c r="B48" s="5" t="s">
        <v>255</v>
      </c>
      <c r="C48" s="5" t="s">
        <v>256</v>
      </c>
      <c r="D48" s="5" t="s">
        <v>257</v>
      </c>
      <c r="E48" s="5" t="s">
        <v>91</v>
      </c>
      <c r="F48" s="5" t="s">
        <v>258</v>
      </c>
      <c r="G48" s="5"/>
      <c r="H48" s="5" t="s">
        <v>102</v>
      </c>
      <c r="I48" s="10" t="s">
        <v>284</v>
      </c>
      <c r="J48" s="10" t="s">
        <v>284</v>
      </c>
      <c r="K48" s="10" t="s">
        <v>284</v>
      </c>
      <c r="L48" s="5"/>
    </row>
    <row r="49" spans="1:12" ht="304" x14ac:dyDescent="0.35">
      <c r="A49" s="5">
        <v>48</v>
      </c>
      <c r="B49" s="5" t="s">
        <v>259</v>
      </c>
      <c r="C49" s="5" t="s">
        <v>260</v>
      </c>
      <c r="D49" s="5" t="s">
        <v>261</v>
      </c>
      <c r="E49" s="5" t="s">
        <v>40</v>
      </c>
      <c r="F49" s="5" t="s">
        <v>262</v>
      </c>
      <c r="G49" s="5" t="s">
        <v>263</v>
      </c>
      <c r="H49" s="5" t="s">
        <v>43</v>
      </c>
      <c r="I49" s="10" t="s">
        <v>284</v>
      </c>
      <c r="J49" s="10" t="s">
        <v>284</v>
      </c>
      <c r="K49" s="10" t="s">
        <v>284</v>
      </c>
      <c r="L49" s="5"/>
    </row>
    <row r="50" spans="1:12" ht="176" x14ac:dyDescent="0.35">
      <c r="A50" s="5">
        <v>49</v>
      </c>
      <c r="B50" s="5" t="s">
        <v>264</v>
      </c>
      <c r="C50" s="5" t="s">
        <v>265</v>
      </c>
      <c r="D50" s="5" t="s">
        <v>266</v>
      </c>
      <c r="E50" s="5" t="s">
        <v>53</v>
      </c>
      <c r="F50" s="5" t="s">
        <v>267</v>
      </c>
      <c r="G50" s="5" t="s">
        <v>268</v>
      </c>
      <c r="H50" s="5" t="s">
        <v>49</v>
      </c>
      <c r="I50" s="10" t="s">
        <v>284</v>
      </c>
      <c r="J50" s="10" t="s">
        <v>284</v>
      </c>
      <c r="K50" s="10" t="s">
        <v>284</v>
      </c>
      <c r="L50" s="5"/>
    </row>
    <row r="51" spans="1:12" ht="32" x14ac:dyDescent="0.35">
      <c r="A51" s="5">
        <v>50</v>
      </c>
      <c r="B51" s="5" t="s">
        <v>269</v>
      </c>
      <c r="C51" s="5" t="s">
        <v>270</v>
      </c>
      <c r="D51" s="5" t="s">
        <v>271</v>
      </c>
      <c r="E51" s="5" t="s">
        <v>40</v>
      </c>
      <c r="F51" s="5" t="s">
        <v>272</v>
      </c>
      <c r="G51" s="5"/>
      <c r="H51" s="5" t="s">
        <v>102</v>
      </c>
      <c r="I51" s="10" t="s">
        <v>284</v>
      </c>
      <c r="J51" s="10" t="s">
        <v>284</v>
      </c>
      <c r="K51" s="10" t="s">
        <v>284</v>
      </c>
      <c r="L51" s="5"/>
    </row>
  </sheetData>
  <autoFilter ref="A1:L5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C8"/>
  <sheetViews>
    <sheetView workbookViewId="0">
      <selection activeCell="B6" sqref="B6"/>
    </sheetView>
  </sheetViews>
  <sheetFormatPr defaultRowHeight="14.5" x14ac:dyDescent="0.35"/>
  <cols>
    <col min="1" max="1" width="18" customWidth="1"/>
    <col min="2" max="3" width="14" customWidth="1"/>
  </cols>
  <sheetData>
    <row r="1" spans="1:3" ht="16.5" x14ac:dyDescent="0.35">
      <c r="A1" s="6" t="s">
        <v>273</v>
      </c>
      <c r="B1" s="6" t="s">
        <v>274</v>
      </c>
      <c r="C1" s="6" t="s">
        <v>275</v>
      </c>
    </row>
    <row r="2" spans="1:3" ht="21" x14ac:dyDescent="0.55000000000000004">
      <c r="A2" s="3" t="s">
        <v>276</v>
      </c>
      <c r="B2" s="7" t="s">
        <v>277</v>
      </c>
      <c r="C2" s="8"/>
    </row>
    <row r="3" spans="1:3" ht="21" x14ac:dyDescent="0.55000000000000004">
      <c r="A3" s="3" t="s">
        <v>278</v>
      </c>
      <c r="B3" s="7">
        <v>50</v>
      </c>
      <c r="C3" s="8">
        <f>B3/B2</f>
        <v>1</v>
      </c>
    </row>
    <row r="4" spans="1:3" ht="21" x14ac:dyDescent="0.55000000000000004">
      <c r="A4" s="3" t="s">
        <v>279</v>
      </c>
      <c r="B4" s="7">
        <f>B2-B3</f>
        <v>0</v>
      </c>
      <c r="C4" s="8">
        <f>B4/B2</f>
        <v>0</v>
      </c>
    </row>
    <row r="5" spans="1:3" ht="21" x14ac:dyDescent="0.55000000000000004">
      <c r="A5" s="2"/>
      <c r="B5" s="7"/>
      <c r="C5" s="8"/>
    </row>
    <row r="6" spans="1:3" ht="21" x14ac:dyDescent="0.55000000000000004">
      <c r="A6" s="3" t="s">
        <v>280</v>
      </c>
      <c r="B6" s="7"/>
      <c r="C6" s="8">
        <f>IF(B3&gt;0,B7/B3,"")</f>
        <v>0</v>
      </c>
    </row>
    <row r="7" spans="1:3" ht="21" x14ac:dyDescent="0.55000000000000004">
      <c r="A7" s="3" t="s">
        <v>281</v>
      </c>
      <c r="B7" s="7"/>
      <c r="C7" s="8">
        <f>IF(B3&gt;0,B8/B3,"")</f>
        <v>0</v>
      </c>
    </row>
    <row r="8" spans="1:3" ht="21" x14ac:dyDescent="0.55000000000000004">
      <c r="A8" s="3" t="s">
        <v>282</v>
      </c>
      <c r="B8" s="7"/>
      <c r="C8" s="8">
        <f>IF(B3&gt;0,B9/B3,"")</f>
        <v>0</v>
      </c>
    </row>
  </sheetData>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Screening</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Wallerich</cp:lastModifiedBy>
  <dcterms:created xsi:type="dcterms:W3CDTF">2026-03-13T11:39:56Z</dcterms:created>
  <dcterms:modified xsi:type="dcterms:W3CDTF">2026-03-13T18:40:26Z</dcterms:modified>
</cp:coreProperties>
</file>