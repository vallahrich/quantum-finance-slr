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ructions" sheetId="1" state="visible" r:id="rId1"/>
    <sheet name="Screening" sheetId="2" state="visible" r:id="rId2"/>
    <sheet name="Progress" sheetId="3" state="visible" r:id="rId3"/>
  </sheets>
  <definedNames>
    <definedName name="_xlnm._FilterDatabase" localSheetId="1" hidden="1">'Screening'!$A$1:$L$51</definedName>
  </definedNames>
  <calcPr calcId="124519" fullCalcOnLoad="1"/>
</workbook>
</file>

<file path=xl/styles.xml><?xml version="1.0" encoding="utf-8"?>
<styleSheet xmlns="http://schemas.openxmlformats.org/spreadsheetml/2006/main">
  <numFmts count="1">
    <numFmt numFmtId="164" formatCode="0.0%"/>
  </numFmts>
  <fonts count="7">
    <font>
      <name val="Calibri"/>
      <family val="2"/>
      <color theme="1"/>
      <sz val="11"/>
      <scheme val="minor"/>
    </font>
    <font>
      <name val="Segoe UI"/>
      <b val="1"/>
      <color rgb="000078D4"/>
      <sz val="14"/>
    </font>
    <font>
      <name val="Segoe UI"/>
      <sz val="11"/>
    </font>
    <font>
      <name val="Segoe UI"/>
      <b val="1"/>
      <sz val="11"/>
    </font>
    <font>
      <name val="Segoe UI"/>
      <b val="1"/>
      <color rgb="00FFFFFF"/>
      <sz val="11"/>
    </font>
    <font>
      <name val="Segoe UI"/>
      <sz val="10"/>
    </font>
    <font>
      <name val="Segoe UI"/>
      <b val="1"/>
      <sz val="14"/>
    </font>
  </fonts>
  <fills count="4">
    <fill>
      <patternFill/>
    </fill>
    <fill>
      <patternFill patternType="gray125"/>
    </fill>
    <fill>
      <patternFill patternType="solid">
        <fgColor rgb="000078D4"/>
        <bgColor rgb="000078D4"/>
      </patternFill>
    </fill>
    <fill>
      <patternFill patternType="solid">
        <fgColor rgb="0000B050"/>
        <bgColor rgb="0000B050"/>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horizontal="center" vertical="center" wrapText="1"/>
    </xf>
    <xf numFmtId="0" fontId="5" fillId="0" borderId="1" applyAlignment="1" pivotButton="0" quotePrefix="0" xfId="0">
      <alignment vertical="top" wrapText="1"/>
    </xf>
    <xf numFmtId="0" fontId="4" fillId="3" borderId="0" applyAlignment="1" pivotButton="0" quotePrefix="0" xfId="0">
      <alignment horizontal="center" vertical="center" wrapText="1"/>
    </xf>
    <xf numFmtId="0" fontId="6" fillId="0" borderId="0" applyAlignment="1" pivotButton="0" quotePrefix="0" xfId="0">
      <alignment horizontal="center"/>
    </xf>
    <xf numFmtId="164" fontId="2" fillId="0" borderId="0" applyAlignment="1" pivotButton="0" quotePrefix="0" xfId="0">
      <alignment horizontal="center"/>
    </xf>
  </cellXfs>
  <cellStyles count="1">
    <cellStyle name="Normal" xfId="0" builtinId="0" hidden="0"/>
  </cellStyles>
  <dxfs count="3">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0078D4"/>
    <outlinePr summaryBelow="1" summaryRight="1"/>
    <pageSetUpPr/>
  </sheetPr>
  <dimension ref="A1:A32"/>
  <sheetViews>
    <sheetView workbookViewId="0">
      <selection activeCell="A1" sqref="A1"/>
    </sheetView>
  </sheetViews>
  <sheetFormatPr baseColWidth="8" defaultRowHeight="15"/>
  <cols>
    <col width="90" customWidth="1" min="1" max="1"/>
  </cols>
  <sheetData>
    <row r="1">
      <c r="A1" s="1" t="inlineStr">
        <is>
          <t>Title/Abstract Screening — Instructions</t>
        </is>
      </c>
    </row>
    <row r="2">
      <c r="A2" s="2" t="inlineStr"/>
    </row>
    <row r="3">
      <c r="A3" s="3" t="inlineStr">
        <is>
          <t>This is the CALIBRATION file — both reviewers screen the same 50 records.</t>
        </is>
      </c>
    </row>
    <row r="4">
      <c r="A4" s="2" t="inlineStr">
        <is>
          <t>Fill YOUR column only (Reviewer A Decision or Reviewer B Decision).</t>
        </is>
      </c>
    </row>
    <row r="5">
      <c r="A5" s="2" t="inlineStr"/>
    </row>
    <row r="6">
      <c r="A6" s="3" t="inlineStr">
        <is>
          <t>GOAL</t>
        </is>
      </c>
    </row>
    <row r="7">
      <c r="A7" s="2" t="inlineStr">
        <is>
          <t>Decide whether each paper should be INCLUDED or EXCLUDED based on its title and abstract. When in doubt, INCLUDE.</t>
        </is>
      </c>
    </row>
    <row r="8">
      <c r="A8" s="2" t="inlineStr"/>
    </row>
    <row r="9">
      <c r="A9" s="3" t="inlineStr">
        <is>
          <t>INCLUSION CRITERIA (all must hold):</t>
        </is>
      </c>
    </row>
    <row r="10">
      <c r="A10" s="2" t="inlineStr">
        <is>
          <t xml:space="preserve">  1. Uses or proposes a gate-based quantum computing approach</t>
        </is>
      </c>
    </row>
    <row r="11">
      <c r="A11" s="2" t="inlineStr">
        <is>
          <t xml:space="preserve">  2. Addresses a financial application or use case</t>
        </is>
      </c>
    </row>
    <row r="12">
      <c r="A12" s="2" t="inlineStr">
        <is>
          <t xml:space="preserve">  3. Contains enough detail to extract: problem family, quantum method, evaluation type</t>
        </is>
      </c>
    </row>
    <row r="13">
      <c r="A13" s="2" t="inlineStr"/>
    </row>
    <row r="14">
      <c r="A14" s="3" t="inlineStr">
        <is>
          <t>QUICK EXCLUSION RULES:</t>
        </is>
      </c>
    </row>
    <row r="15">
      <c r="A15" s="2" t="inlineStr">
        <is>
          <t xml:space="preserve">  - Quantum annealing ONLY (no gate-based component) -&gt; exclude</t>
        </is>
      </c>
    </row>
    <row r="16">
      <c r="A16" s="2" t="inlineStr">
        <is>
          <t xml:space="preserve">  - Quantum-inspired classical algorithms -&gt; exclude</t>
        </is>
      </c>
    </row>
    <row r="17">
      <c r="A17" s="2" t="inlineStr">
        <is>
          <t xml:space="preserve">  - Not finance (chemistry, logistics, etc.) -&gt; exclude</t>
        </is>
      </c>
    </row>
    <row r="18">
      <c r="A18" s="2" t="inlineStr">
        <is>
          <t xml:space="preserve">  - Pure hardware, no application -&gt; exclude</t>
        </is>
      </c>
    </row>
    <row r="19">
      <c r="A19" s="2" t="inlineStr">
        <is>
          <t xml:space="preserve">  - Survey/review papers -&gt; exclude (used for snowballing only)</t>
        </is>
      </c>
    </row>
    <row r="20">
      <c r="A20" s="2" t="inlineStr">
        <is>
          <t xml:space="preserve">  - Non-English -&gt; exclude</t>
        </is>
      </c>
    </row>
    <row r="21">
      <c r="A21" s="2" t="inlineStr"/>
    </row>
    <row r="22">
      <c r="A22" s="3" t="inlineStr">
        <is>
          <t>HOW TO SCREEN:</t>
        </is>
      </c>
    </row>
    <row r="23">
      <c r="A23" s="2" t="inlineStr">
        <is>
          <t xml:space="preserve">  1. Go to the 'Screening' sheet</t>
        </is>
      </c>
    </row>
    <row r="24">
      <c r="A24" s="2" t="inlineStr">
        <is>
          <t xml:space="preserve">  2. Read the Title and Abstract for each row</t>
        </is>
      </c>
    </row>
    <row r="25">
      <c r="A25" s="2" t="inlineStr">
        <is>
          <t xml:space="preserve">  3. Click the Decision column and select: include / exclude / maybe</t>
        </is>
      </c>
    </row>
    <row r="26">
      <c r="A26" s="2" t="inlineStr">
        <is>
          <t xml:space="preserve">  4. Add notes if helpful (especially for 'maybe' decisions)</t>
        </is>
      </c>
    </row>
    <row r="27">
      <c r="A27" s="2" t="inlineStr">
        <is>
          <t xml:space="preserve">  5. The row will auto-colour: green=include, red=exclude, yellow=maybe</t>
        </is>
      </c>
    </row>
    <row r="28">
      <c r="A28" s="2" t="inlineStr"/>
    </row>
    <row r="29">
      <c r="A29" s="3" t="inlineStr">
        <is>
          <t>WHEN IN DOUBT -&gt; choose 'maybe' (will be discussed jointly)</t>
        </is>
      </c>
    </row>
    <row r="30">
      <c r="A30" s="2" t="inlineStr"/>
    </row>
    <row r="31">
      <c r="A31" s="3" t="inlineStr">
        <is>
          <t>PROGRESS:</t>
        </is>
      </c>
    </row>
    <row r="32">
      <c r="A32" s="2" t="inlineStr">
        <is>
          <t xml:space="preserve">  Check the 'Progress' sheet to see how many you have left.</t>
        </is>
      </c>
    </row>
  </sheetData>
  <pageMargins left="0.75" right="0.75" top="1" bottom="1" header="0.5" footer="0.5"/>
</worksheet>
</file>

<file path=xl/worksheets/sheet2.xml><?xml version="1.0" encoding="utf-8"?>
<worksheet xmlns="http://schemas.openxmlformats.org/spreadsheetml/2006/main">
  <sheetPr>
    <tabColor rgb="00FFC000"/>
    <outlinePr summaryBelow="1" summaryRight="1"/>
    <pageSetUpPr/>
  </sheetPr>
  <dimension ref="A1:L5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5" customWidth="1" min="1" max="1"/>
    <col width="14" customWidth="1" min="2" max="2"/>
    <col width="50" customWidth="1" min="3" max="3"/>
    <col width="30" customWidth="1" min="4" max="4"/>
    <col width="7" customWidth="1" min="5" max="5"/>
    <col width="22" customWidth="1" min="6" max="6"/>
    <col width="70" customWidth="1" min="7" max="7"/>
    <col width="12" customWidth="1" min="8" max="8"/>
    <col width="18" customWidth="1" min="9" max="9"/>
    <col width="18" customWidth="1" min="10" max="10"/>
    <col width="16" customWidth="1" min="11" max="11"/>
    <col width="30" customWidth="1" min="12" max="12"/>
  </cols>
  <sheetData>
    <row r="1">
      <c r="A1" s="4" t="inlineStr">
        <is>
          <t>#</t>
        </is>
      </c>
      <c r="B1" s="4" t="inlineStr">
        <is>
          <t>Paper ID</t>
        </is>
      </c>
      <c r="C1" s="4" t="inlineStr">
        <is>
          <t>Title</t>
        </is>
      </c>
      <c r="D1" s="4" t="inlineStr">
        <is>
          <t>Authors</t>
        </is>
      </c>
      <c r="E1" s="4" t="inlineStr">
        <is>
          <t>Year</t>
        </is>
      </c>
      <c r="F1" s="4" t="inlineStr">
        <is>
          <t>DOI</t>
        </is>
      </c>
      <c r="G1" s="4" t="inlineStr">
        <is>
          <t>Abstract</t>
        </is>
      </c>
      <c r="H1" s="4" t="inlineStr">
        <is>
          <t>Source</t>
        </is>
      </c>
      <c r="I1" s="4" t="inlineStr">
        <is>
          <t>Reviewer A Decision</t>
        </is>
      </c>
      <c r="J1" s="4" t="inlineStr">
        <is>
          <t>Reviewer B Decision</t>
        </is>
      </c>
      <c r="K1" s="4" t="inlineStr">
        <is>
          <t>Final Decision</t>
        </is>
      </c>
      <c r="L1" s="4" t="inlineStr">
        <is>
          <t>Notes</t>
        </is>
      </c>
    </row>
    <row r="2">
      <c r="A2" s="5" t="n">
        <v>1</v>
      </c>
      <c r="B2" s="5" t="inlineStr">
        <is>
          <t>19ba4987f78e</t>
        </is>
      </c>
      <c r="C2" s="5" t="inlineStr">
        <is>
          <t>APPLICATION OF RISK PREDICTION SYSTEMS IN THE FOREIGN ECONOMIC ENVIRONMENT: METHODOLOGICAL FOUNDATIONS AND TRANSFORMATION VECTORS IN THE CONTEXT OF INDUSTRY 4.0</t>
        </is>
      </c>
      <c r="D2" s="5" t="inlineStr">
        <is>
          <t>Яна Дибчинська; Катерина Сухарева; Ольга Верітова</t>
        </is>
      </c>
      <c r="E2" s="5" t="inlineStr">
        <is>
          <t>2025</t>
        </is>
      </c>
      <c r="F2" s="5" t="inlineStr">
        <is>
          <t>10.32782/2524-0072/2025-79-22</t>
        </is>
      </c>
      <c r="G2" s="5" t="inlineStr">
        <is>
          <t>The purpose of this study is to analyze the methodological foundations and transformation vectors of risk forecasting systems in the foreign economic environment under the conditions of Industry 4.0. The research highlights existing methodological approaches to risk management from statistical models to hybrid systems that combine artificial intelligence, big data analytics, blockchain, digital twins and foresight technologies turning forecasting into a tool of strategic anticipation. The influence of Industry 4.0 technologies is analyzed, demonstrating that the integration of sensor networks, cloud services, edge analytics and AI forms a multi-level ecosystem in which speed, accuracy and reliability mutually reinforce each other. It is proven that the combination of digital twins and blockchain enables the transition toward an integrated trust infrastructure. The study presents international experience in applying risk forecasting systems in logistics, trade and financial sectors, showing the effectiveness of flexible, self-learning and cross-sector synchronized platforms. Measures have been developed to adapt this experience to Ukraine, combining data centralization, risk monitoring, digital modernization, simulation forecasting and generative intelligence. Such an approach integrates Ukraine into the global risk management ecosystem, enhancing its resilience and transparency. Transformation vectors of risk forecasting systems have been formulated, encompassing generative AI, quantum computing, edge analytics, simulators, the Internet of Everything, hyper-personalized platforms, as well as preventive and ethical models. It is demonstrated that their synergy ensures the transition from local analytics to global cognitive ecosystems capable of adapting to and preventing risks in real time.</t>
        </is>
      </c>
      <c r="H2" s="5" t="inlineStr">
        <is>
          <t>semantic_scholar</t>
        </is>
      </c>
      <c r="I2" s="5" t="n"/>
      <c r="J2" s="5" t="n"/>
      <c r="K2" s="5" t="n"/>
      <c r="L2" s="5" t="n"/>
    </row>
    <row r="3">
      <c r="A3" s="5" t="n">
        <v>2</v>
      </c>
      <c r="B3" s="5" t="inlineStr">
        <is>
          <t>3d6d6393f792</t>
        </is>
      </c>
      <c r="C3" s="5" t="inlineStr">
        <is>
          <t>A comparison on constrain encoding methods for quantum approximate optimization algorithm</t>
        </is>
      </c>
      <c r="D3" s="5" t="inlineStr">
        <is>
          <t>Yiwen Liu; Qingyue Jiao; Yidong Zhou; Zhiding Liang; Yiyu Shi; Ke Wan; Shangjie Guo</t>
        </is>
      </c>
      <c r="E3" s="5" t="inlineStr">
        <is>
          <t>2024</t>
        </is>
      </c>
      <c r="F3" s="5" t="inlineStr"/>
      <c r="G3" s="5" t="inlineStr">
        <is>
          <t>The Quantum Approximate Optimization Algorithm (QAOA) represents a significant opportunity for practical quantum computing applications, particularly in the era before error correction is fully realized. This algorithm is especially relevant for addressing constraint satisfaction problems (CSPs), which are critical in various fields such as supply chain management, energy distribution, and financial modeling. In our study, we conduct a numerical comparison of three different strategies for incorporating linear constraints into QAOA: transforming them into an unconstrained format, introducing penalty dephasing, and utilizing the quantum Zeno effect. We assess the efficiency and effectiveness of these methods using the knapsack problem as a case study. Our findings provide insights into the potential applicability of different encoding methods for various use cases.</t>
        </is>
      </c>
      <c r="H3" s="5" t="inlineStr">
        <is>
          <t>arxiv</t>
        </is>
      </c>
      <c r="I3" s="5" t="n"/>
      <c r="J3" s="5" t="n"/>
      <c r="K3" s="5" t="n"/>
      <c r="L3" s="5" t="n"/>
    </row>
    <row r="4">
      <c r="A4" s="5" t="n">
        <v>3</v>
      </c>
      <c r="B4" s="5" t="inlineStr">
        <is>
          <t>1760158c7e1b</t>
        </is>
      </c>
      <c r="C4" s="5" t="inlineStr">
        <is>
          <t>Option Pricing using Quantum Computers</t>
        </is>
      </c>
      <c r="D4" s="5" t="inlineStr">
        <is>
          <t>Nikitas Stamatopoulos; Daniel J. Egger; Yue Sun; Christa Zoufal; Raban Iten; Ning Shen; Stefan Woerner</t>
        </is>
      </c>
      <c r="E4" s="5" t="inlineStr">
        <is>
          <t>2019</t>
        </is>
      </c>
      <c r="F4" s="5" t="inlineStr">
        <is>
          <t>10.22331/q-2020-07-06-291</t>
        </is>
      </c>
      <c r="G4" s="5" t="inlineStr">
        <is>
          <t>We present a methodology to price options and portfolios of options on a gate-based quantum computer using amplitude estimation, an algorithm which provides a quadratic speedup compared to classical Monte Carlo methods. The options that we cover include vanilla options, multi-asset options and path-dependent options such as barrier options. We put an emphasis on the implementation of the quantum circuits required to build the input states and operators needed by amplitude estimation to price the different option types. Additionally, we show simulation results to highlight how the circuits that we implement price the different option contracts. Finally, we examine the performance of option pricing circuits on quantum hardware using the IBM Q Tokyo quantum device. We employ a simple, yet effective, error mitigation scheme that allows us to significantly reduce the errors arising from noisy two-qubit gates.</t>
        </is>
      </c>
      <c r="H4" s="5" t="inlineStr">
        <is>
          <t>arxiv</t>
        </is>
      </c>
      <c r="I4" s="5" t="n"/>
      <c r="J4" s="5" t="n"/>
      <c r="K4" s="5" t="n"/>
      <c r="L4" s="5" t="n"/>
    </row>
    <row r="5">
      <c r="A5" s="5" t="n">
        <v>4</v>
      </c>
      <c r="B5" s="5" t="inlineStr">
        <is>
          <t>22dd08973a4c</t>
        </is>
      </c>
      <c r="C5" s="5" t="inlineStr">
        <is>
          <t>Asymptotic Computing &amp;amp;ndash; Undoing the Damage</t>
        </is>
      </c>
      <c r="D5" s="5" t="inlineStr">
        <is>
          <t>S Ramotowski Thomas; Brodowicz Maciej; Kogler Danny; Anderson Matthew</t>
        </is>
      </c>
      <c r="E5" s="5" t="inlineStr">
        <is>
          <t>2017</t>
        </is>
      </c>
      <c r="F5" s="5" t="inlineStr">
        <is>
          <t>10.3233/978-1-61499-816-7-55</t>
        </is>
      </c>
      <c r="G5" s="5" t="inlineStr">
        <is>
          <t>While the very far future well beyond exaflops computing may encompass such paradigm shifts as quantum computing or neuromorphic computing, a critical window of change exists within the domain of semiconductor digital logic technology but beyond conventional practices of architecture, system software, and programming. As key parameters such as Dennard scaling, nano-scale component densities, clock rates, pin I/O, and voltage represent asymptotic operational regimes, one major area of untapped opportunity is computer architecture which has been severely limited by conventional practices of organization and control semantics. Mainstream computer architecture in HPC has been inhibited in innovation by the original von Neumann architecture of seven decades ago. Although notably diverse in form of parallelism exploited, six major epochs of computer architecture through to the present are all von Neumann derivatives. At their core is the use of single instruction issue and the prioritization of Floating Point ALU (FPU) utilization. However, in the modern age, FPUs consume only a small part of die real estate while the plethora of mechanisms to achieve maximum floating point efficiency take up the majority of the chip. The von Neumann bottleneck, the separation of memory and processor, is also retained. A revolution in computer architecture design is possible by undoing the damage of the von Neumann heritage and emphasizing the key challenges of data movement latency and bandwidth which are the true precious resources along with operation/instruction issue control. This paper discusses key tradeoffs that should drive computer architecture in what might be called the &amp;amp;ldquo;Neo-Digital Age&amp;amp;rdquo;.</t>
        </is>
      </c>
      <c r="H5" s="5" t="inlineStr">
        <is>
          <t>openalex</t>
        </is>
      </c>
      <c r="I5" s="5" t="n"/>
      <c r="J5" s="5" t="n"/>
      <c r="K5" s="5" t="n"/>
      <c r="L5" s="5" t="n"/>
    </row>
    <row r="6">
      <c r="A6" s="5" t="n">
        <v>5</v>
      </c>
      <c r="B6" s="5" t="inlineStr">
        <is>
          <t>3367ad74c461</t>
        </is>
      </c>
      <c r="C6" s="5" t="inlineStr">
        <is>
          <t>A Block-Encoding Method for Constant and Variable Delay Linear Delay Differential Equations</t>
        </is>
      </c>
      <c r="D6" s="5" t="inlineStr">
        <is>
          <t>Sameer Sharma</t>
        </is>
      </c>
      <c r="E6" s="5" t="inlineStr">
        <is>
          <t>2025</t>
        </is>
      </c>
      <c r="F6" s="5" t="inlineStr">
        <is>
          <t>10.21203/rs.3.rs-8169166/v1</t>
        </is>
      </c>
      <c r="G6" s="5" t="inlineStr">
        <is>
          <t>&lt;title&gt;Abstract&lt;/title&gt; Delay Differential Equations (DDEs) are used to model many systems in medicine, chemistry, and environmental science, and are characterized by the derivative of the function being dependent on the solution in both the present and the past. They are utilized in realistic systems where the transfer between states is not instantaneous, or there is delayed activation of some component. While much literature has been focused on creating quantum algorithms for ODEs, there is no such research considering DDEs. We extend the method of solving lin ear delay functions as a matrix equation to first-order DDEs by creating custom quantum block-encoding oracles for the coefficient matrix resulting from both constant and variable-delays. The findings now allow this new class of equations to be solved faster than linear time with quantum linear system solvers.</t>
        </is>
      </c>
      <c r="H6" s="5" t="inlineStr">
        <is>
          <t>openalex</t>
        </is>
      </c>
      <c r="I6" s="5" t="n"/>
      <c r="J6" s="5" t="n"/>
      <c r="K6" s="5" t="n"/>
      <c r="L6" s="5" t="n"/>
    </row>
    <row r="7">
      <c r="A7" s="5" t="n">
        <v>6</v>
      </c>
      <c r="B7" s="5" t="inlineStr">
        <is>
          <t>43f2388a340d</t>
        </is>
      </c>
      <c r="C7" s="5" t="inlineStr">
        <is>
          <t>Determining the &lt;i&gt;N&lt;/i&gt;-representability of transition reduced density matrices</t>
        </is>
      </c>
      <c r="D7" s="5" t="inlineStr">
        <is>
          <t>Gustavo E. Massaccesi; P. Capuzzi; Ofelia B. Oña; Luis Laín; Alicia Torre; Juan E. Peralta; Diego R. Alcoba</t>
        </is>
      </c>
      <c r="E7" s="5" t="inlineStr">
        <is>
          <t>2025</t>
        </is>
      </c>
      <c r="F7" s="5" t="inlineStr">
        <is>
          <t>10.1063/5.0275683</t>
        </is>
      </c>
      <c r="G7" s="5" t="inlineStr">
        <is>
          <t>The N-representability problem of reduced density matrices represents a fundamental challenge in electronic structure theory. In this work, we focus on the N-representability of transition reduced density matrices and propose a practical approach to embed a p-body transition reduced density matrix (RDM) of an N-particle system into a (p + 1)-body RDM of an (N + 1)-particle system. This embedding allows us to apply a unitary evolution algorithm based on a recently developed adaptive derivative-assembled pseudo-Trotter variational quantum algorithm to determine the N-representability of reduced density matrices. The algorithm works by effectively applying a sequence of unitary transformations to a given (N + 1)-particle initial state in such a way that the distance of a projection of its corresponding (p + 1)-body RDM (embedded p-body transition RDM) to a target is minimized. Our methodology enables the purification of transition reduced density matrices and the reconstruction of approximate wave functions involved in the studied transitions, providing an effective strategy to correct and refine transition density matrices. We validate our approach with numerical simulations on N-particle systems, including a three-electron model system and the H3 molecule, demonstrating its robustness and accuracy.</t>
        </is>
      </c>
      <c r="H7" s="5" t="inlineStr">
        <is>
          <t>openalex</t>
        </is>
      </c>
      <c r="I7" s="5" t="n"/>
      <c r="J7" s="5" t="n"/>
      <c r="K7" s="5" t="n"/>
      <c r="L7" s="5" t="n"/>
    </row>
    <row r="8">
      <c r="A8" s="5" t="n">
        <v>7</v>
      </c>
      <c r="B8" s="5" t="inlineStr">
        <is>
          <t>47688b4abd0b</t>
        </is>
      </c>
      <c r="C8" s="5" t="inlineStr">
        <is>
          <t>Quantum Bayesian Networks for Machine Learning in Oil-Spill Detection</t>
        </is>
      </c>
      <c r="D8" s="5" t="inlineStr">
        <is>
          <t>Owais Ishtiaq Siddiqui; Nouhaila Innan; Alberto Marchisio; Mohamed Bennai; Muhammad Shafique</t>
        </is>
      </c>
      <c r="E8" s="5" t="inlineStr">
        <is>
          <t>2024</t>
        </is>
      </c>
      <c r="F8" s="5" t="inlineStr">
        <is>
          <t>10.1109/IJCNN64981.2025.11228312</t>
        </is>
      </c>
      <c r="G8" s="5" t="inlineStr">
        <is>
          <t>Quantum Machine Learning (QML) has shown promise in diverse applications such as environmental monitoring, healthcare diagnostics, and financial modeling. However, its practical implementation faces challenges, including limited quantum hardware and the complexity of integrating quantum algorithms with classical systems. One critical challenge is handling imbalanced datasets, where rare events are often misclassified due to skewed data distributions. Quantum Bayesian Networks (QBNs) address this issue by enhancing feature extraction and improving the classification of rare events such as oil spills. This paper introduces a Bayesian approach utilizing QBNs to classify satellite-derived imbalanced datasets, distinguishing ``oil-spill'' from ``non-spill'' regions. QBNs leverage probabilistic reasoning and quantum state preparation to integrate quantum enhancements into classical machine learning architectures. Our approach achieves a 0.99 AUC score, demonstrating its efficacy in anomaly detection and advancing precise environmental monitoring and management. While integration enhances classification performance, dataset-specific challenges require further optimization.</t>
        </is>
      </c>
      <c r="H8" s="5" t="inlineStr">
        <is>
          <t>arxiv</t>
        </is>
      </c>
      <c r="I8" s="5" t="n"/>
      <c r="J8" s="5" t="n"/>
      <c r="K8" s="5" t="n"/>
      <c r="L8" s="5" t="n"/>
    </row>
    <row r="9">
      <c r="A9" s="5" t="n">
        <v>8</v>
      </c>
      <c r="B9" s="5" t="inlineStr">
        <is>
          <t>f5b1f05fe558</t>
        </is>
      </c>
      <c r="C9" s="5" t="inlineStr">
        <is>
          <t>Portfolio Optimization of 40 Stocks Using the DWave Quantum Annealer</t>
        </is>
      </c>
      <c r="D9" s="5" t="inlineStr">
        <is>
          <t>Jeffrey Cohen; Alex Khan; Clark Alexander</t>
        </is>
      </c>
      <c r="E9" s="5" t="inlineStr">
        <is>
          <t>2020</t>
        </is>
      </c>
      <c r="F9" s="5" t="inlineStr"/>
      <c r="G9" s="5" t="inlineStr">
        <is>
          <t>We investigate the use of quantum computers for building a portfolio out of a universe of U.S. listed, liquid equities that contains an optimal set of stocks. Starting from historical market data, we look at various problem formulations on the D-Wave Systems Inc. D-Wave 2000Q(TM) System (hereafter called DWave) to find the optimal risk vs return portfolio; an optimized portfolio based on the Markowitz formulation and the Sharpe ratio, a simplified Chicago Quantum Ratio (CQR), then a new Chicago Quantum Net Score (CQNS). We approach this first classically, then by our new method on DWave. Our results show that practitioners can use a DWave to select attractive portfolios out of 40 U.S. liquid equities.</t>
        </is>
      </c>
      <c r="H9" s="5" t="inlineStr">
        <is>
          <t>arxiv</t>
        </is>
      </c>
      <c r="I9" s="5" t="n"/>
      <c r="J9" s="5" t="n"/>
      <c r="K9" s="5" t="n"/>
      <c r="L9" s="5" t="n"/>
    </row>
    <row r="10">
      <c r="A10" s="5" t="n">
        <v>9</v>
      </c>
      <c r="B10" s="5" t="inlineStr">
        <is>
          <t>9855f84b6de3</t>
        </is>
      </c>
      <c r="C10" s="5" t="inlineStr">
        <is>
          <t>The Role of Artificial Intelligence in Strategic Business Decision Making</t>
        </is>
      </c>
      <c r="D10" s="5" t="inlineStr">
        <is>
          <t>P. Arora; Joydeep  Das</t>
        </is>
      </c>
      <c r="E10" s="5" t="inlineStr">
        <is>
          <t>2025</t>
        </is>
      </c>
      <c r="F10" s="5" t="inlineStr">
        <is>
          <t>10.61808/jsrt203</t>
        </is>
      </c>
      <c r="G10" s="5" t="inlineStr">
        <is>
          <t>Artificial Intelligence (AI) is transforming investment decision-making in financial institutions by leveraging machinelearning, natural language processing, and predictive analytics. These technologies enable rapid processing of vastdatasets, accurate market forecasting, and tailored investment strategies, leading to enhanced returns and operationalefficiencies. AI-driven tools analyze market data, sentiment, and alternative sources to uncover insights, optimizeportfolios, and improve risk management, offering a competitive edge in volatile markets. However, challenges such asalgorithmic biases, which can perpetuate unfair outcomes, cybersecurity vulnerabilities that threaten sensitive data,and regulatory complexities due to opaque AI models require robust oversight. This paper explores AI’s opportunities,including cost reduction and personalized services, alongside risks like over-reliance on automation and ethicalconcerns. Through case studies on hedge funds, robo-advisors, and high-frequency trading, we assess AI’s impact,emphasizing the need for human-AI collaboration to ensure ethical decision-making. We also examine future trends,such as sustainable investing and quantum computing, which promise to further reshape finance. Data analysishighlights AI’s potential and pitfalls, providing recommendations for responsible adoption, including transparency,staff training, and regulatory engagement, to balance innovation with accountability.</t>
        </is>
      </c>
      <c r="H10" s="5" t="inlineStr">
        <is>
          <t>semantic_scholar</t>
        </is>
      </c>
      <c r="I10" s="5" t="n"/>
      <c r="J10" s="5" t="n"/>
      <c r="K10" s="5" t="n"/>
      <c r="L10" s="5" t="n"/>
    </row>
    <row r="11">
      <c r="A11" s="5" t="n">
        <v>10</v>
      </c>
      <c r="B11" s="5" t="inlineStr">
        <is>
          <t>cf803ec26409</t>
        </is>
      </c>
      <c r="C11" s="5" t="inlineStr">
        <is>
          <t>Quasi-binary encoding based quantum alternating operator ansatz</t>
        </is>
      </c>
      <c r="D11" s="5" t="inlineStr">
        <is>
          <t>Bingren Chen; Hanqing Wu; Haomu Yuan; Lei Wu; Xin Li</t>
        </is>
      </c>
      <c r="E11" s="5" t="inlineStr">
        <is>
          <t>2023</t>
        </is>
      </c>
      <c r="F11" s="5" t="inlineStr"/>
      <c r="G11" s="5" t="inlineStr">
        <is>
          <t>This paper proposes a quasi-binary encoding based algorithm for solving a specific quadratic optimization models with discrete variables, in the quantum approximate optimization algorithm (QAOA) framework. The quadratic optimization model has three constraints: 1. Discrete constraint, the variables are required to be integers. 2. Bound constraint, each variable is required to be greater than or equal to an integer and less than or equal to another integer. 3. Sum constraint, the sum of all variables should be a given integer.   To solve this optimization model, we use quasi-binary encoding to encode the variables. For an integer variable with upper bound $U_i$ and lower bound $L_i$, this encoding method can use at most $2\log_2 (U_i-L_i+1)$ qubits to encode the variable. Moreover, we design a mixing operator specifically for this encoding to satisfy the hard constraint model. In the hard constraint model, the quantum state always satisfies the constraints during the evolution, and no penalty term is needed in the objective function. In other parts of the QAOA framework, we also incorporate ideas such as CVaR-QAOA and parameter scheduling methods into our QAOA algorithm.   In the financial field, by introducing precision, portfolio optimization problems can be reduced to the above model. We will use portfolio optimization cases for numerical simulation. We design an iterative method to solve the problem of coarse precision caused by insufficient qubits of the simulators or quantum computers. This iterative method can refine the precision by multiple few-qubit experiments.</t>
        </is>
      </c>
      <c r="H11" s="5" t="inlineStr">
        <is>
          <t>arxiv</t>
        </is>
      </c>
      <c r="I11" s="5" t="n"/>
      <c r="J11" s="5" t="n"/>
      <c r="K11" s="5" t="n"/>
      <c r="L11" s="5" t="n"/>
    </row>
    <row r="12">
      <c r="A12" s="5" t="n">
        <v>11</v>
      </c>
      <c r="B12" s="5" t="inlineStr">
        <is>
          <t>0630bd507c5d</t>
        </is>
      </c>
      <c r="C12" s="5" t="inlineStr">
        <is>
          <t>AI for Business Transformation: Exploring Innovations in Banking</t>
        </is>
      </c>
      <c r="D12" s="5" t="inlineStr">
        <is>
          <t>S. Radhai; B. Rajendran</t>
        </is>
      </c>
      <c r="E12" s="5" t="inlineStr">
        <is>
          <t>2025</t>
        </is>
      </c>
      <c r="F12" s="5" t="inlineStr">
        <is>
          <t>10.34293/commerce.v13is1-i2.8769</t>
        </is>
      </c>
      <c r="G12" s="5" t="inlineStr">
        <is>
          <t>AI is changing financial services and the banking industry by automating tasks, making decisions based on data, and making the customer experience better. Some of the AI-driven innovations that are making banking more efficient, safe, and streamlined are chatbots, virtual helpers, robo-advisors, fraud detection algorithms, and blockchain integration. Risk management models powered by AI are very important for making sure that everyone follows the rules, finding fraud, and speeding up loan applications. Putting AI and blockchain technology together is also making financial deals more open and safer. Even though AI has many benefits, using it in banking raises worries about data privacy, following the rules, cybersecurity, and how it will change the work force. Hyper-personalization, quantum computing, and ethical AI frameworks will be at the center of future AI-driven banking to ensure responsible and sustainable growth as financial institutions deal with these problems. This piece talks about the main AI developments that are changing the banking industry, as well as the effects, problems, and new trends that are on the way. It shows how AI is carefully changing the business world.</t>
        </is>
      </c>
      <c r="H12" s="5" t="inlineStr">
        <is>
          <t>semantic_scholar</t>
        </is>
      </c>
      <c r="I12" s="5" t="n"/>
      <c r="J12" s="5" t="n"/>
      <c r="K12" s="5" t="n"/>
      <c r="L12" s="5" t="n"/>
    </row>
    <row r="13">
      <c r="A13" s="5" t="n">
        <v>12</v>
      </c>
      <c r="B13" s="5" t="inlineStr">
        <is>
          <t>3728d312cd79</t>
        </is>
      </c>
      <c r="C13" s="5" t="inlineStr">
        <is>
          <t>Synergizing Machine Learning Algorithms with Quantum Computing: A Path to Unprecedented Capabilities</t>
        </is>
      </c>
      <c r="D13" s="5" t="inlineStr">
        <is>
          <t>Pulugu D.</t>
        </is>
      </c>
      <c r="E13" s="5" t="inlineStr">
        <is>
          <t>2024</t>
        </is>
      </c>
      <c r="F13" s="5" t="inlineStr">
        <is>
          <t>10.1109/ICACCM61117.2024.11058996</t>
        </is>
      </c>
      <c r="G13" s="5" t="inlineStr"/>
      <c r="H13" s="5" t="inlineStr">
        <is>
          <t>scopus</t>
        </is>
      </c>
      <c r="I13" s="5" t="n"/>
      <c r="J13" s="5" t="n"/>
      <c r="K13" s="5" t="n"/>
      <c r="L13" s="5" t="n"/>
    </row>
    <row r="14">
      <c r="A14" s="5" t="n">
        <v>13</v>
      </c>
      <c r="B14" s="5" t="inlineStr">
        <is>
          <t>1bad58b8e8e7</t>
        </is>
      </c>
      <c r="C14" s="5" t="inlineStr">
        <is>
          <t>Empirical Evaluation of QAOA with Zero Noise Extrapolation on NISQ Hardware for Carbon Credit Portfolio Optimization in the Brazilian Cerrado</t>
        </is>
      </c>
      <c r="D14" s="5" t="inlineStr">
        <is>
          <t>Hugo José Ribeiro</t>
        </is>
      </c>
      <c r="E14" s="5" t="inlineStr">
        <is>
          <t>2026</t>
        </is>
      </c>
      <c r="F14" s="5" t="inlineStr"/>
      <c r="G14" s="5" t="inlineStr">
        <is>
          <t>Optimizing carbon credit portfolios is a critical challenge for climate mitigation, particularly in high-biodiversity biomes such as the Brazilian Cerrado. This study explores the practical application of the Quantum Approximate Optimization Algorithm (QAOA) combined with Zero Noise Extrapolation (ZNE) to address a multi-objective territorial planning problem. We model an 88-variable portfolio optimization involving carbon sequestration, biodiversity connectivity, and social impact metrics, executed on intermediate-scale IBM Quantum hardware (ibm_torino and ibm_fez). The results of seven independent hardware runs demonstrate that the QAOA+ZNE workflow consistently outperforms a classical greedy baseline. The quantum method achieves a mean portfolio score of 58.47 +/- 6.98, corresponding to a 31.6% improvement over the classical heuristic (44.42), with high statistical significance (p = 0.0009) and a large effect size (Cohen's d = 2.01), where ZNE yields extrapolated expectation values of the portfolio objective rather than a discrete portfolio solution without noise. A validation run conducted after a 13-day interval confirms the temporal stability of the methodology against hardware calibration drifts. These findings establish empirical quantum utility in an environmental science context, showing that current NISQ-era devices, when coupled with rigorous error mitigation, can identify complex territorial synergies that myopic classical approaches overlook. The proposed workflow provides a scalable methodological template for high-precision environmental conservation policies.</t>
        </is>
      </c>
      <c r="H14" s="5" t="inlineStr">
        <is>
          <t>arxiv</t>
        </is>
      </c>
      <c r="I14" s="5" t="n"/>
      <c r="J14" s="5" t="n"/>
      <c r="K14" s="5" t="n"/>
      <c r="L14" s="5" t="n"/>
    </row>
    <row r="15">
      <c r="A15" s="5" t="n">
        <v>14</v>
      </c>
      <c r="B15" s="5" t="inlineStr">
        <is>
          <t>3a533a166c84</t>
        </is>
      </c>
      <c r="C15" s="5" t="inlineStr">
        <is>
          <t>Quantum Portfolio Optimization: An Extensive Benchmark</t>
        </is>
      </c>
      <c r="D15" s="5" t="inlineStr">
        <is>
          <t>Eric Stopfer; Friedrich Wagner</t>
        </is>
      </c>
      <c r="E15" s="5" t="inlineStr">
        <is>
          <t>2025</t>
        </is>
      </c>
      <c r="F15" s="5" t="inlineStr"/>
      <c r="G15" s="5" t="inlineStr">
        <is>
          <t>Recently, several researchers proposed portfolio optimization as a potential use case for quantum optimization. However, the literature is lacking an extensive benchmark quantifying the potential of quantum computers for portfolio optimization. In this work, we fill this gap. We provide a computational study, comparing quantum approaches against state-of-the-art classical methods on a meaningful, real-world instance set. In particular, we compare quantum annealing and the quantum approximate optimization algorithm against classical mixed-integer programming, simulated annealing, steepest descent local search, tabu search and a problem-tailored heuristics. We consider a variant of portfolio optimization which we show to be particular difficult for classical solvers in practice. Our benchmark comprises 250 instances with up to 1,000 assets from actual stock data. The results show that all instances can be solved to proven optimality by mixed-integer programming in the order of seconds. Moreover, the problem-tailored heuristic consistently outperforms quantum approaches in terms of solution quality for fixed runtime. Thus, we conclude that there is only very limited room for a potential quantum advantage in portfolio optimization.</t>
        </is>
      </c>
      <c r="H15" s="5" t="inlineStr">
        <is>
          <t>arxiv</t>
        </is>
      </c>
      <c r="I15" s="5" t="n"/>
      <c r="J15" s="5" t="n"/>
      <c r="K15" s="5" t="n"/>
      <c r="L15" s="5" t="n"/>
    </row>
    <row r="16">
      <c r="A16" s="5" t="n">
        <v>15</v>
      </c>
      <c r="B16" s="5" t="inlineStr">
        <is>
          <t>d3bf87c97dee</t>
        </is>
      </c>
      <c r="C16" s="5" t="inlineStr">
        <is>
          <t>Exponential Qubit Reduction in Optimization for Financial Transaction Settlement</t>
        </is>
      </c>
      <c r="D16" s="5" t="inlineStr">
        <is>
          <t>Elias X. Huber; Benjamin Y. L. Tan; Paul R. Griffin; Dimitris G. Angelakis</t>
        </is>
      </c>
      <c r="E16" s="5" t="inlineStr">
        <is>
          <t>2023</t>
        </is>
      </c>
      <c r="F16" s="5" t="inlineStr">
        <is>
          <t>10.1140/epjqt/s40507-024-00262-w</t>
        </is>
      </c>
      <c r="G16" s="5" t="inlineStr">
        <is>
          <t>We extend the qubit-efficient encoding presented in [Tan et al., Quantum 5, 454 (2021)] and apply it to instances of the financial transaction settlement problem constructed from data provided by a regulated financial exchange. Our methods are directly applicable to any QUBO problem with linear inequality constraints. Our extension of previously proposed methods consists of a simplification in varying the number of qubits used to encode correlations as well as a new class of variational circuits which incorporate symmetries, thereby reducing sampling overhead, improving numerical stability and recovering the expression of the cost objective as a Hermitian observable. We also propose optimality-preserving methods to reduce variance in real-world data and substitute continuous slack variables. We benchmark our methods against standard QAOA for problems consisting of 16 transactions and obtain competitive results. Our newly proposed variational ansatz performs best overall. We demonstrate tackling problems with 128 transactions on real quantum hardware, exceeding previous results bounded by NISQ hardware by almost two orders of magnitude.</t>
        </is>
      </c>
      <c r="H16" s="5" t="inlineStr">
        <is>
          <t>arxiv</t>
        </is>
      </c>
      <c r="I16" s="5" t="n"/>
      <c r="J16" s="5" t="n"/>
      <c r="K16" s="5" t="n"/>
      <c r="L16" s="5" t="n"/>
    </row>
    <row r="17">
      <c r="A17" s="5" t="n">
        <v>16</v>
      </c>
      <c r="B17" s="5" t="inlineStr">
        <is>
          <t>b6818d525b77</t>
        </is>
      </c>
      <c r="C17" s="5" t="inlineStr">
        <is>
          <t>Quantum computing fidelity susceptibility using automatic differentiation</t>
        </is>
      </c>
      <c r="D17" s="5" t="inlineStr">
        <is>
          <t>Olivia Di Matteo; R. M. Woloshyn</t>
        </is>
      </c>
      <c r="E17" s="5" t="inlineStr">
        <is>
          <t>2022</t>
        </is>
      </c>
      <c r="F17" s="5" t="inlineStr">
        <is>
          <t>10.1103/physreva.106.052429</t>
        </is>
      </c>
      <c r="G17" s="5" t="inlineStr">
        <is>
          <t>Automatic differentiation is an invaluable feature of machine learning and quantum machine learning software libraries. In this work, it is shown how quantum automatic differentiation can be used to solve the condensed-matter problem of computing fidelity susceptibility, a quantity whose value may be indicative of a phase transition in a system. Results are presented using simulations including hardware noise for small instances of the transverse-field Ising model, and a number of optimizations that can be applied are highlighted. Error mitigation (zero-noise extrapolation) is applied within the autodifferentiation framework to a number of gradient values required for the computation of fidelity susceptibility and a related quantity, the second derivative of the energy. Such computations are found to be highly sensitive to the additional statistical noise incurred by the error mitigation method.</t>
        </is>
      </c>
      <c r="H17" s="5" t="inlineStr">
        <is>
          <t>openalex</t>
        </is>
      </c>
      <c r="I17" s="5" t="n"/>
      <c r="J17" s="5" t="n"/>
      <c r="K17" s="5" t="n"/>
      <c r="L17" s="5" t="n"/>
    </row>
    <row r="18">
      <c r="A18" s="5" t="n">
        <v>17</v>
      </c>
      <c r="B18" s="5" t="inlineStr">
        <is>
          <t>9228669cf4b1</t>
        </is>
      </c>
      <c r="C18" s="5" t="inlineStr">
        <is>
          <t>Structured PREreview of "The Art of Quantum Computing for Finance: Brief Overview and Prospects"</t>
        </is>
      </c>
      <c r="D18" s="5" t="inlineStr">
        <is>
          <t>Ronke Lawal</t>
        </is>
      </c>
      <c r="E18" s="5" t="inlineStr">
        <is>
          <t>2025</t>
        </is>
      </c>
      <c r="F18" s="5" t="inlineStr">
        <is>
          <t>10.5281/zenodo.17636532</t>
        </is>
      </c>
      <c r="G18" s="5" t="inlineStr">
        <is>
          <t>This Zenodo record is a permanently preserved version of a Structured PREreview. You can view the complete PREreview at https://prereview.org/reviews/17636532. Does the introduction explain the objective of the research presented in the preprint? Yes The Introduction, along with the Abstract, clearly explains the objective of the research presented in the preprint. The Abstract characterizes the paper as a review article that discusses the application of quantum computing to financial problems, detailing current approaches, future prospects, and specifically addressing quantum machine learning and deep learning in finance, along with key models and techniques. The Introduction further narrows this scope by stating that the study is interested in the application of quantum computing in the financial sphere in a very broad way. This broad objective is then distilled into three explicit research questions (RQs) that the paper seeks to answer: identifying the most commonly used methods in quantum finance (RQ1), evaluating how the contributions of quantum approaches to finance are measured (RQ2), and discussing the gaps, challenges, open questions, and future prospects of quantum computing (RQ3). Are the methods well-suited for this research? Highly appropriate The methods implemented are well suited for the research objectives because the study is explicitly presented as a review article or survey that seeks to provide an overview of quantum computing applications in the financial sphere. The primary objective is to answer three specific research questions (RQs) concerning the most commonly used methods, how contributions are evaluated, and the gaps, challenges, and future prospects of quantum computing in finance. To address these questions, the methodology involved conducting systematic literature searches across various academic databases including PubMed, MDPI, SCOPUS, Nature, Science Direct, IEEE Xplore, ACM, and Google Scholar. This approach, utilizing specific keyword combinations like "Finance AND ("Quantum Finance" OR "Quantum Computing")" and selecting articles based on their publication dates, is appropriate for systematically gathering and synthesizing the existing academic knowledge necessary for a comprehensive survey. Are the conclusions supported by the data? Highly supported The conclusions of the preprint are supported by the synthesized data derived from its comprehensive literature review, which is characteristic of a survey article. The conclusion states that the field of quantum computing for finance is expanding quickly, a finding substantiated by the numerous applications and references cited throughout the paper covering areas such as risk management, fraud detection, asset pricing, and portfolio optimization. Furthermore, the conclusion that conceptual advancements promise large speedups for broadly applicable algorithms is supported by specific examples detailed in the text, such as the proposed quantum algorithm for pricing multi asset derivatives which offers an exponential acceleration of dimensionality compared to classical algorithms. Lastly, the cautionary conclusion that more experimental work is required before a universal quantum processor can outperform existing supercomputers is reinforced by the discussion on current hardware challenges, including the strict operational limit imposed by decoherence and the current reliance on Noisy Intermediate Scale Quantum (NISQ) processors. Are the data presentations, including visualizations, well-suited to represent the data? Highly appropriate and clear The data presentations are well suited for this technical review, which aims to survey the landscape of quantum computing in finance, primarily relying on structured organization and mathematical notation rather than traditional visualizations. The manuscript includes a Table 1, which serves as an effective organizational tool, systematically listing various quantum finance application areas such as transaction settlement, risk management, fraud detection, asset pricing, and portfolio optimization, alongside their corresponding reference citations, thereby clearly summarizing the reviewed literature. Furthermore, for a study focused on quantitative finance, the inclusion of detailed mathematical formulae, such as the multiple-asset Black-Scholes Partial Differential Equation, geometric Brownian motion processes, and optimization problems for trading and arbitrage, is highly appropriate for communicating the technical foundations and complexity of the models discussed. How clearly do the authors discuss, explain, and interpret their findings and potential next steps for the research? Very clearly The authors clearly discuss, explain, and interpret their findings by systematically structuring the review to answer the stated research questions concerning quantum computing applications in finance. They interpret the rapid expansion of the field based on conceptual advancements that promise large speedups for broadly applicable algorithms and experimental breakthroughs in quantum hardware. For example, the text explains that a proposed quantum algorithm for pricing multi asset derivatives using the finite difference method offers an exponential acceleration of dimensionality compared to classical algorithms, illustrating the potential for speedup. Regarding challenges and future steps, the authors explicitly discuss the strict operational limit imposed by decoherence in quantum hardware, noting that this challenge necessitates the use of Noisy Intermediate Scale Quantum (NISQ) processors and requires the development of higher fidelity qubits and error correction techniques. The ultimate viewpoint presented is that while the field is expanding quickly, more experimental work remains necessary before a universal quantum processor can definitively outperform existing supercomputers. Is the preprint likely to advance academic knowledge? Highly likely It offers a comprehensive and systematic survey of the rapidly expanding field of quantum computing in finance, structured around answering three specific research questions. The study significantly contributes to the existing body of knowledge by reviewing current approaches and future prospects, synthesizing information on the most common methods, evaluating how contributions are currently measured, and identifying gaps, challenges, and future prospects. Specifically, the review highlights conceptual advancements that promise large speedups for broadly applicable algorithms, such as a proposed quantum algorithm for pricing multi asset derivatives using the finite difference method, which offers an exponential acceleration of dimensionality compared to classical methods. Furthermore, it clearly outlines critical challenges facing the academic community, including the strict operational limit imposed by decoherence and the reliance on Noisy Intermediate Scale Quantum (NISQ) processors, thereby guiding necessary future experimental research before quantum processors can universally outperform classical supercomputers. Would it benefit from language editing? No The authors explicitly define their scope, pose specific research questions, and organize the paper logically, indicating that the overall presentation is clear and functional for the academic audience Would you recommend this preprint to others? Yes, it's of high quality This preprint is highly recommended, particularly for researchers and professionals interested in the intersection of quantum computing and financial recommended, particularly for researchers and professionals interested in the intersection of quantum computing and financial applications, as it substantially advances academic knowledge by providing a comprehensive survey of the field. Is it ready for attention from an editor, publisher or broader audience? Yes, as it is Competing interests The author declares that they have no competing interests. Use of Artificial Intelligence (AI) The author declares that they did not use generative AI to come up with new ideas for their review.</t>
        </is>
      </c>
      <c r="H18" s="5" t="inlineStr">
        <is>
          <t>openalex</t>
        </is>
      </c>
      <c r="I18" s="5" t="n"/>
      <c r="J18" s="5" t="n"/>
      <c r="K18" s="5" t="n"/>
      <c r="L18" s="5" t="n"/>
    </row>
    <row r="19">
      <c r="A19" s="5" t="n">
        <v>18</v>
      </c>
      <c r="B19" s="5" t="inlineStr">
        <is>
          <t>db97f2d47914</t>
        </is>
      </c>
      <c r="C19" s="5" t="inlineStr">
        <is>
          <t>An approach to diagnostics based on video oculography data analysis</t>
        </is>
      </c>
      <c r="D19" s="5" t="inlineStr">
        <is>
          <t>Kuravsky L.S.</t>
        </is>
      </c>
      <c r="E19" s="5" t="inlineStr">
        <is>
          <t>2021</t>
        </is>
      </c>
      <c r="F19" s="5" t="inlineStr"/>
      <c r="G19" s="5" t="inlineStr"/>
      <c r="H19" s="5" t="inlineStr">
        <is>
          <t>scopus</t>
        </is>
      </c>
      <c r="I19" s="5" t="n"/>
      <c r="J19" s="5" t="n"/>
      <c r="K19" s="5" t="n"/>
      <c r="L19" s="5" t="n"/>
    </row>
    <row r="20">
      <c r="A20" s="5" t="n">
        <v>19</v>
      </c>
      <c r="B20" s="5" t="inlineStr">
        <is>
          <t>f002f7ead611</t>
        </is>
      </c>
      <c r="C20" s="5" t="inlineStr">
        <is>
          <t>Comprehensive Integration of AI-Driven Analytics, Cybersecurity, and Heat Transfer Optimization: A Multidisciplinary Strategy for Advancing Healthcare, Risk Management, and Industrial Efficiency</t>
        </is>
      </c>
      <c r="D20" s="5" t="inlineStr">
        <is>
          <t>A. Khan</t>
        </is>
      </c>
      <c r="E20" s="5" t="inlineStr">
        <is>
          <t>2025</t>
        </is>
      </c>
      <c r="F20" s="5" t="inlineStr">
        <is>
          <t>10.70445/gjcsai.1.2.2025.61-78</t>
        </is>
      </c>
      <c r="G20" s="5" t="inlineStr">
        <is>
          <t>Healthcare, risk management, and industrial efficiency are among the important areas that are changing as a result of the combination of AI-driven analytics, cybersecurity, and heat transfer optimization. While cybersecurity guarantees data protection and resistance against cyber-attacks, artificial intelligence (AI) improves predictive analytics, process automation, and decision-making. In many different industries, heat transfer optimization is essential for thermal management, energy efficiency, and operational sustainability. This multidisciplinary approach improves operational efficiency in industrial settings, fraud detection and risk reduction in finance, and diagnostics and patient data protection in healthcare. To realize its full potential, however, obstacles including data privacy, high processing needs, system integration problems, and ethical considerations must be resolved. These technologies will be further improved by next developments like as federated learning, quantum computing, and sustainable AI-driven thermal management. Collaboration between professionals in these domains will be crucial as firms embrace self-optimizing heat management systems and cybersecurity measures driven by artificial intelligence. Regulations must also change to guarantee responsible innovation, data security, and the application of AI in an ethical manner. Modern industry will continue to shape a more efficient, safe, and sustainable future through the multidisciplinary convergence of AI, cybersecurity, and heat transfer optimization.</t>
        </is>
      </c>
      <c r="H20" s="5" t="inlineStr">
        <is>
          <t>semantic_scholar</t>
        </is>
      </c>
      <c r="I20" s="5" t="n"/>
      <c r="J20" s="5" t="n"/>
      <c r="K20" s="5" t="n"/>
      <c r="L20" s="5" t="n"/>
    </row>
    <row r="21">
      <c r="A21" s="5" t="n">
        <v>20</v>
      </c>
      <c r="B21" s="5" t="inlineStr">
        <is>
          <t>29cfef5a271e</t>
        </is>
      </c>
      <c r="C21" s="5" t="inlineStr">
        <is>
          <t>Derivative Pricing using Quantum Signal Processing</t>
        </is>
      </c>
      <c r="D21" s="5" t="inlineStr">
        <is>
          <t>Nikitas Stamatopoulos; William J. Zeng</t>
        </is>
      </c>
      <c r="E21" s="5" t="inlineStr">
        <is>
          <t>2023</t>
        </is>
      </c>
      <c r="F21" s="5" t="inlineStr">
        <is>
          <t>10.22331/q-2024-04-30-1322</t>
        </is>
      </c>
      <c r="G21" s="5" t="inlineStr">
        <is>
          <t>Pricing financial derivatives on quantum computers typically includes quantum arithmetic components which contribute heavily to the quantum resources required by the corresponding circuits. In this manuscript, we introduce a method based on Quantum Signal Processing (QSP) to encode financial derivative payoffs directly into quantum amplitudes, alleviating the quantum circuits from the burden of costly quantum arithmetic. Compared to current state-of-the-art approaches in the literature, we find that for derivative contracts of practical interest, the application of QSP significantly reduces the required resources across all metrics considered, most notably the total number of T-gates by $\sim 16$x and the number of logical qubits by $\sim 4$x. Additionally, we estimate that the logical clock rate needed for quantum advantage is also reduced by a factor of $\sim 5$x. Overall, we find that quantum advantage will require $4.7$k logical qubits, and quantum devices that can execute $10^9$ T-gates at a rate of $45$MHz. While in this work we focus specifically on the payoff component of the derivative pricing process where the method we present is most readily applicable, similar techniques can be employed to further reduce the resources in other applications, such as state preparation.</t>
        </is>
      </c>
      <c r="H21" s="5" t="inlineStr">
        <is>
          <t>arxiv</t>
        </is>
      </c>
      <c r="I21" s="5" t="n"/>
      <c r="J21" s="5" t="n"/>
      <c r="K21" s="5" t="n"/>
      <c r="L21" s="5" t="n"/>
    </row>
    <row r="22">
      <c r="A22" s="5" t="n">
        <v>21</v>
      </c>
      <c r="B22" s="5" t="inlineStr">
        <is>
          <t>9ac554cf64c4</t>
        </is>
      </c>
      <c r="C22" s="5" t="inlineStr">
        <is>
          <t>Research on Quantum Computing Technology and Application</t>
        </is>
      </c>
      <c r="D22" s="5" t="inlineStr">
        <is>
          <t>Mengliang Li; Hong Yang; Xiong Guo</t>
        </is>
      </c>
      <c r="E22" s="5" t="inlineStr">
        <is>
          <t>2019</t>
        </is>
      </c>
      <c r="F22" s="5" t="inlineStr">
        <is>
          <t>10.2991/MASTA-19.2019.30</t>
        </is>
      </c>
      <c r="G22" s="5" t="inlineStr">
        <is>
          <t>Quantum computing is a novelty type of calculation mode that follows the rules of quantum mechanics regulating quantum information units. The general theoretical model of a quantum computer is a universal Turing machine that is reinterpreted by using the laws of quantum mechanics. Quantum computing can greatly improve the computational efficiency through the principle of quantum superposition, which is widely used in artificial intelligence (AI), accurate weather forecast, traffic congestion management and other fields. In the past 10 years, quantum computing has been increasing in technology, the number of products and the scale of industry. This paper will introduce the history, concepts, current research status, main technology and applications of quantum computing, and the development trends of quantum computing will be presented. Introduction For most of computing history, the foundational hardware technology has been binary digital transistor logic. In such digital systems, data and programs are encoded into binary digits (bits) based on two states: on and off. The field of quantum computing introduces a whole new approach to the underlying computing hardware by shifting from simple binary (two-state) logic to a more powerful multi-state logic using a new notion of bit, known as “quantum bits” or “qubits” which are represented by quantum as superposition and entanglement[1]. This shift from a binary digital representation found in today’s conventional computers to a quantum digital representation in tomorrow’s computers will bring huge increases in computing power and new, innovative software that handles today’s hugely complex distributed computational problems and provides more powerful analysis of today’s complex data patterns [2]. Quantum computing holds the potential to revolutionize fields from chemistry and logistics to finance and physics. However, the increase in power and capability that quantum computing will provide, will also be seen as a dire threat because it can easily defeat today’s encryption mechanisms, which have all been built using pre-quantum computing approaches. As strong as today’s encryption mechanisms have been, they wouldn’t stand a chance against a quantum computing-based attack. This widely known risk associated with the power of quantum computing is very concerning for governments, institutions and individuals whose encrypted files are safe today, but may not be in 10-20 years when quantum computing takes off [8]. This paper will provide the history of quantum computing and its concepts. it will summarize the current research status, main technology and applications of quantum computing, as well as summarize the development trend associated with quantum computing. Basic Concepts of Quantum Computing Definition Quantum computing is a fresh type of calculation mode that follows the rules of quantum mechanics regulating quantum information units. Quantum computing is a kind of parallel computing, which takes entangled quantum states as the carrier of information transmission, and uses the linear superposition principle of quantum states to complete the parallel computing and ultimately get the required information. Quantum computers have very high parallel computing power, which can be International Conference on Modeling, Analysis, Simulation Technologies and Applications (MASTA 2019) Copyright © 2019, the Authors. Published by Atlantis Press. This is an open access article under the CC BY-NC license (http://creativecommons.org/licenses/by-nc/4.0/). Advances in Intelligent Systems Research, volume 168</t>
        </is>
      </c>
      <c r="H22" s="5" t="inlineStr">
        <is>
          <t>semantic_scholar</t>
        </is>
      </c>
      <c r="I22" s="5" t="n"/>
      <c r="J22" s="5" t="n"/>
      <c r="K22" s="5" t="n"/>
      <c r="L22" s="5" t="n"/>
    </row>
    <row r="23">
      <c r="A23" s="5" t="n">
        <v>22</v>
      </c>
      <c r="B23" s="5" t="inlineStr">
        <is>
          <t>8dc8b5091eef</t>
        </is>
      </c>
      <c r="C23" s="5" t="inlineStr">
        <is>
          <t>Determining probability density functions with adiabatic quantum computing</t>
        </is>
      </c>
      <c r="D23" s="5" t="inlineStr">
        <is>
          <t>Matteo Robbiati; Juan Cruz–Martinez; Stefano Carrazza</t>
        </is>
      </c>
      <c r="E23" s="5" t="inlineStr">
        <is>
          <t>2023</t>
        </is>
      </c>
      <c r="F23" s="5" t="inlineStr">
        <is>
          <t>10.48550/arxiv.2303.11346</t>
        </is>
      </c>
      <c r="G23" s="5" t="inlineStr">
        <is>
          <t>The two main approaches to quantum computing are gate-based computation and analog computation, which are polynomially equivalent in terms of complexity, and they are often seen as alternatives to each other. In this work, we present a method for fitting one-dimensional probability distributions as a practical example of how analog and gate-based computation can be used together to perform different tasks within a single algorithm. In particular, we propose a strategy for encoding data within an adiabatic evolution model, which accomodates the fitting of strictly monotonic functions, as it is the cumulative distribution function of a dataset. Subsequently, we use a Trotter-bounded procedure to translate the adiabatic evolution into a quantum circuit in which the evolution time t is identified with the parameters of the circuit. This facilitates computing the probability density as derivative of the cumulative function using parameter shift rules.</t>
        </is>
      </c>
      <c r="H23" s="5" t="inlineStr">
        <is>
          <t>openalex</t>
        </is>
      </c>
      <c r="I23" s="5" t="n"/>
      <c r="J23" s="5" t="n"/>
      <c r="K23" s="5" t="n"/>
      <c r="L23" s="5" t="n"/>
    </row>
    <row r="24">
      <c r="A24" s="5" t="n">
        <v>23</v>
      </c>
      <c r="B24" s="5" t="inlineStr">
        <is>
          <t>ba5afbcce6b8</t>
        </is>
      </c>
      <c r="C24" s="5" t="inlineStr">
        <is>
          <t>Quantum Machine Learning and Optimisation in Finance</t>
        </is>
      </c>
      <c r="D24" s="5" t="inlineStr">
        <is>
          <t>Tushar Vaidya</t>
        </is>
      </c>
      <c r="E24" s="5" t="inlineStr">
        <is>
          <t>2024</t>
        </is>
      </c>
      <c r="F24" s="5" t="inlineStr">
        <is>
          <t>10.1080/14697688.2024.2375260</t>
        </is>
      </c>
      <c r="G24" s="5" t="inlineStr"/>
      <c r="H24" s="5" t="inlineStr">
        <is>
          <t>semantic_scholar</t>
        </is>
      </c>
      <c r="I24" s="5" t="n"/>
      <c r="J24" s="5" t="n"/>
      <c r="K24" s="5" t="n"/>
      <c r="L24" s="5" t="n"/>
    </row>
    <row r="25">
      <c r="A25" s="5" t="n">
        <v>24</v>
      </c>
      <c r="B25" s="5" t="inlineStr">
        <is>
          <t>53080a041da9</t>
        </is>
      </c>
      <c r="C25" s="5" t="inlineStr">
        <is>
          <t>Confidential-computing cyber defense platform sharing threat intelligence, fortifying critical infrastructure against emerging cryptographic attacks nationwide</t>
        </is>
      </c>
      <c r="D25" s="5" t="inlineStr">
        <is>
          <t>Yusuff Taofeek Adeshina; Desmond Ohene Poku</t>
        </is>
      </c>
      <c r="E25" s="5" t="inlineStr">
        <is>
          <t>2025</t>
        </is>
      </c>
      <c r="F25" s="5" t="inlineStr">
        <is>
          <t>10.30574/ijsra.2025.16.2.2302</t>
        </is>
      </c>
      <c r="G25" s="5" t="inlineStr">
        <is>
          <t>In an era marked by increasingly sophisticated cyber threats and growing vulnerabilities in national critical infrastructure, this study explores the transformative role of confidential computing in defending against emerging cryptographic attacks and enabling secure threat intelligence sharing. Traditional cybersecurity measures, while effective for protecting data at rest and in transit, fall short in securing data during active processingan area exploited by advanced persistent threats, quantum computing, and side-channel attacks. This research investigates how hardware-based trusted execution environments (TEEs), homomorphic encryption, and zero-knowledge proofs embedded in confidential-computing platforms can preserve the confidentiality of sensitive operations even within potentially compromised environments. Through detailed case studies of major U.S. institutionsincluding PGandE, Exelon, JPMorgan Chase, Wells Fargo, and Kaiser Permanentethe paper demonstrates significant improvements in detection speed, false positive reduction, and operational efficiency. Furthermore, it proposes a scalable, privacy-preserving framework for collaborative cyber defense across critical sectors such as energy, finance, and healthcare. The findings underscore that integrating confidential computing with decentralized intelligence sharing networks not only enhances cybersecurity resilience but also yields substantial economic and regulatory benefits. This work advocates for a national, and eventually global, shift toward confidential-computing-enabled infrastructures to achieve robust, cooperative, and future-proof cyber defense ecosystems.</t>
        </is>
      </c>
      <c r="H25" s="5" t="inlineStr">
        <is>
          <t>semantic_scholar</t>
        </is>
      </c>
      <c r="I25" s="5" t="n"/>
      <c r="J25" s="5" t="n"/>
      <c r="K25" s="5" t="n"/>
      <c r="L25" s="5" t="n"/>
    </row>
    <row r="26">
      <c r="A26" s="5" t="n">
        <v>25</v>
      </c>
      <c r="B26" s="5" t="inlineStr">
        <is>
          <t>427268ad02dd</t>
        </is>
      </c>
      <c r="C26" s="5" t="inlineStr">
        <is>
          <t>An Innovative Hunting-based Quantum-inspired Jaguar Algorithm for Combinatorial Optimization</t>
        </is>
      </c>
      <c r="D26" s="5" t="inlineStr">
        <is>
          <t>Chou Y.H.</t>
        </is>
      </c>
      <c r="E26" s="5" t="inlineStr">
        <is>
          <t>2024</t>
        </is>
      </c>
      <c r="F26" s="5" t="inlineStr">
        <is>
          <t>10.1109/QCE60285.2024.10401</t>
        </is>
      </c>
      <c r="G26" s="5" t="inlineStr"/>
      <c r="H26" s="5" t="inlineStr">
        <is>
          <t>scopus</t>
        </is>
      </c>
      <c r="I26" s="5" t="n"/>
      <c r="J26" s="5" t="n"/>
      <c r="K26" s="5" t="n"/>
      <c r="L26" s="5" t="n"/>
    </row>
    <row r="27">
      <c r="A27" s="5" t="n">
        <v>26</v>
      </c>
      <c r="B27" s="5" t="inlineStr">
        <is>
          <t>51f31f035b53</t>
        </is>
      </c>
      <c r="C27" s="5" t="inlineStr">
        <is>
          <t>The absorption and emission spectra in solution of oligothiophene-based push–pull biomarkers: a PCM/TD-DFT vibronic study</t>
        </is>
      </c>
      <c r="D27" s="5" t="inlineStr">
        <is>
          <t>Emiliano Stendardo; Francisco J. Ávila Ferrer; Fabrizio Santoro; Roberto Improta</t>
        </is>
      </c>
      <c r="E27" s="5" t="inlineStr">
        <is>
          <t>2016</t>
        </is>
      </c>
      <c r="F27" s="5" t="inlineStr">
        <is>
          <t>10.1007/s00214-016-1899-4</t>
        </is>
      </c>
      <c r="G27" s="5" t="inlineStr"/>
      <c r="H27" s="5" t="inlineStr">
        <is>
          <t>openalex</t>
        </is>
      </c>
      <c r="I27" s="5" t="n"/>
      <c r="J27" s="5" t="n"/>
      <c r="K27" s="5" t="n"/>
      <c r="L27" s="5" t="n"/>
    </row>
    <row r="28">
      <c r="A28" s="5" t="n">
        <v>27</v>
      </c>
      <c r="B28" s="5" t="inlineStr">
        <is>
          <t>81aeabb0ae0f</t>
        </is>
      </c>
      <c r="C28" s="5" t="inlineStr">
        <is>
          <t>A quantum feature selection framework via ground state preparation</t>
        </is>
      </c>
      <c r="D28" s="5" t="inlineStr">
        <is>
          <t>Wang L.</t>
        </is>
      </c>
      <c r="E28" s="5" t="inlineStr">
        <is>
          <t>2023</t>
        </is>
      </c>
      <c r="F28" s="5" t="inlineStr">
        <is>
          <t>10.1088/1402-4896/ad0184</t>
        </is>
      </c>
      <c r="G28" s="5" t="inlineStr"/>
      <c r="H28" s="5" t="inlineStr">
        <is>
          <t>scopus</t>
        </is>
      </c>
      <c r="I28" s="5" t="n"/>
      <c r="J28" s="5" t="n"/>
      <c r="K28" s="5" t="n"/>
      <c r="L28" s="5" t="n"/>
    </row>
    <row r="29">
      <c r="A29" s="5" t="n">
        <v>28</v>
      </c>
      <c r="B29" s="5" t="inlineStr">
        <is>
          <t>02a366524bd9</t>
        </is>
      </c>
      <c r="C29" s="5" t="inlineStr">
        <is>
          <t>Adiabatic Quantum Computing and Quantum Annealing</t>
        </is>
      </c>
      <c r="D29" s="5" t="inlineStr">
        <is>
          <t>E. Grant; T. Humble</t>
        </is>
      </c>
      <c r="E29" s="5" t="inlineStr">
        <is>
          <t>2019</t>
        </is>
      </c>
      <c r="F29" s="5" t="inlineStr">
        <is>
          <t>10.1093/acrefore/9780190871994.013.32</t>
        </is>
      </c>
      <c r="G29" s="5" t="inlineStr">
        <is>
          <t>Adiabatic quantum computing (AQC) is a model of computation that uses quantum mechanical processes operating under adiabatic conditions. As a form of universal quantum computation, AQC employs the principles of superposition, tunneling, and entanglement that manifest in quantum physical systems. The AQC model of quantum computing is distinguished by the use of dynamical evolution that is slow with respect to the time and energy scales of the underlying physical systems. This adiabatic condition enforces the promise that the quantum computational state will remain well-defined and controllable thus enabling the development of new algorithmic approaches.
 Several notable algorithms developed within the AQC model include methods for solving unstructured search and combinatorial optimization problems. In an idealized setting, the asymptotic complexity analyses of these algorithms indicate computational speed-ups may be possible relative to state-of-the-art conventional methods. However, the presence of non-ideal conditions, including non-adiabatic dynamics, residual thermal excitations, and physical noise complicate the assessment of the potential computational performance. A relaxation of the adiabatic condition is captured in the complementary computational heuristic of quantum annealing, which accommodates physical systems operating at finite temperature and in open environments. While quantum annealing (QA) provides a more accurate model for the behavior of actual quantum physical systems, the possibility of non-adiabatic effects obscures a clear separation with conventional computing complexity.
 A series of technological advances in the control of quantum physical systems have enabled experimental AQC and QA. Prominent examples include demonstrations using superconducting electronics, which encode quantum information in the magnetic flux induced by a weak current operating at cryogenic temperatures. A family of devices developed specifically for unconstrained optimization problems has been applied to solve problems in specific domains including logistics, finance, material science, machine learning, and numerical analysis. An accompanying infrastructure has also developed to support these experimental demonstrations and to enable access of a broader community of users. Although AQC is most commonly applied in superconducting technologies, alternative approaches include optically trapped neutral atoms and ion-trap systems.
 The significant progress in the understanding of AQC has revealed several open topics that continue to motivate research into this model of quantum computation. Foremost is the development of methods for fault-tolerant operation that will ensure the scalability of AQC for solving large-scale problems. In addition, unequivocal experimental demonstrations that differentiate the computational power of AQC and its variants from conventional computing approaches are needed. This will also require advances in the fabrication and control of quantum physical systems under the adiabatic restrictions.</t>
        </is>
      </c>
      <c r="H29" s="5" t="inlineStr">
        <is>
          <t>semantic_scholar</t>
        </is>
      </c>
      <c r="I29" s="5" t="n"/>
      <c r="J29" s="5" t="n"/>
      <c r="K29" s="5" t="n"/>
      <c r="L29" s="5" t="n"/>
    </row>
    <row r="30">
      <c r="A30" s="5" t="n">
        <v>29</v>
      </c>
      <c r="B30" s="5" t="inlineStr">
        <is>
          <t>c3e78ae86504</t>
        </is>
      </c>
      <c r="C30" s="5" t="inlineStr">
        <is>
          <t>ВЕКТОРНІ МОДЕЛІ ЛОГІКИ І СТРУКТУРИ ДЛЯ ТЕСТУВАННЯ ТА МОДЕЛЮВАННЯ ЦИФРОВИХ СХЕМ</t>
        </is>
      </c>
      <c r="D30" s="5" t="inlineStr">
        <is>
          <t>А. В. Хаханова; В. І. Хаханов; С. В. Чумаченко; Є. І. Литвинова; Д. Ю. Рахліс</t>
        </is>
      </c>
      <c r="E30" s="5" t="inlineStr">
        <is>
          <t>2021</t>
        </is>
      </c>
      <c r="F30" s="5" t="inlineStr"/>
      <c r="G30" s="5" t="inlineStr">
        <is>
          <t>Context. It is known that data structures are decisive for the creation of efficient parallel algorithms and high-performance computing devices. Therefore, the development of mathematically perfect and technologically simple data structures takes about 80 percent of the design time, when about 20 percent of time and material resources are spent on algorithms and their hardware-software coding. This lead to search for such primitives of data structures that will significantly simplify the parallel high-performance algorithms which are working on them. Models and methods for testing and simulation of digital systems are proposed, which containing certain advantages of quantum computing in terms of implementation of vector qubit data structures in technology of classical computational processes. Objective. The goal of the work is development of an innovative technology for qubit-vector synthesis and deductive analysis of tests for their verification based on vector data structures that greatly simplify algorithms that can be embedded as BIST components in digital systems on chips. Method. The deductive faults simulation is used to obtain analytical expressions focused on transporting fault lists through a functional or logical element based on the xor-operation, which serves as a measure of similarity-difference between a test, a function and faults which is specified in the same way in one of the formats − a table, graph, equation. A binary vector is proposed as the most technologically advanced primitive of data structures for setting logical functionality for the purpose of parallel synthesis and analysis of digital systems. The parallelism of solving combinatorial problems is a physical property of quantum computing, which in classical computing, for parallel simulation and faults diagnostics, is provided by unitary-coded data structures due to excess memory. Results. 1) A method of analytical synthesis of deductive logic for functional elements on the gate level and register transfer level has been developed. 2) A deductive processor for faults simulation based on transporting input lists or faults vectors to external outputs of digital circuits was proposed. 3) The qubit-vector form of logic setting and methods of qubit synthesis of deductive equations for faults simulation were described. 4) A qubit-vector method for the tests’ synthesis which is using derivatives calculated by vector coverage of logic has been developed. 5) Models and methods verification is performed on test examples in the software implementation of structures and algorithms. Conclusions. The scientific novelty lies in the new paradigm of the technology for the synthesis of deductive RTL logic based on metric test equation, which forms the. A vector form for structures description is introduced, which makes it possible to apply wellknown technologies for the synthesis and analysis of logical circuits tests to effectively solve the problems of graph structures testing and state machine models of digital devices. The practical significance is reflected in the examples of analytical synthesis of deductive logic for functional elements on gate level and register transfer level. A deductive processor for faults simulation which is focused on implementation as a BIST tool, which is used in online testing, simulation and fault diagnosis for digital systems on chips is proposed. A qubit-vector form of the digital systems description is proposed, which surpasses the existing methods of computing devices development in terms of the metric: manufacturability, compactness, speed and quality. A software application has been developed that implements the main testing, simulation and diagnostics services which are used in the educational process to study the advantages of qubit-vector data structures and algorithms. The computational complexity of synthesis processes and deductive formulas for logic and their usage in fault simulation are given.</t>
        </is>
      </c>
      <c r="H30" s="5" t="inlineStr">
        <is>
          <t>openalex</t>
        </is>
      </c>
      <c r="I30" s="5" t="n"/>
      <c r="J30" s="5" t="n"/>
      <c r="K30" s="5" t="n"/>
      <c r="L30" s="5" t="n"/>
    </row>
    <row r="31">
      <c r="A31" s="5" t="n">
        <v>30</v>
      </c>
      <c r="B31" s="5" t="inlineStr">
        <is>
          <t>955dd8044889</t>
        </is>
      </c>
      <c r="C31" s="5" t="inlineStr">
        <is>
          <t>Quantum Finance: a tutorial on quantum computing applied to the financial market</t>
        </is>
      </c>
      <c r="D31" s="5" t="inlineStr">
        <is>
          <t>Askery Canabarro; Taysa M. Mendonça; Ranieri Nery; George Moreno; Anton S. Albino; Gleydson F. de Jesus; Rafael Chaves</t>
        </is>
      </c>
      <c r="E31" s="5" t="inlineStr">
        <is>
          <t>2022</t>
        </is>
      </c>
      <c r="F31" s="5" t="inlineStr"/>
      <c r="G31" s="5" t="inlineStr">
        <is>
          <t>Previously only considered a frontier area of Physics, nowadays quantum computing is one of the fastest growing research field, precisely because of its technological applications in optimization problems, machine learning, information security and simulations. The goal of this article is to introduce the fundamentals of quantum computing, focusing on a promising quantum algorithm and its application to a financial market problem. More specifically, we discuss the portfolio optimization problem using the \textit{Quantum Approximate Optimization Algorithm} (QAOA). We not only describe the main concepts involved but also consider simple practical examples, involving financial assets available on the Brazilian stock exchange, with codes, both classic and quantum, freely available as a Jupyter Notebook. We also analyze in details the quality of the combinatorial portfolio optimization solutions through QAOA using SENAI/CIMATEC's ATOS QLM quantum simulator.</t>
        </is>
      </c>
      <c r="H31" s="5" t="inlineStr">
        <is>
          <t>arxiv</t>
        </is>
      </c>
      <c r="I31" s="5" t="n"/>
      <c r="J31" s="5" t="n"/>
      <c r="K31" s="5" t="n"/>
      <c r="L31" s="5" t="n"/>
    </row>
    <row r="32">
      <c r="A32" s="5" t="n">
        <v>31</v>
      </c>
      <c r="B32" s="5" t="inlineStr">
        <is>
          <t>c5e615b1716e</t>
        </is>
      </c>
      <c r="C32" s="5" t="inlineStr">
        <is>
          <t>A Review of Quantum and Hybrid Quantum / Classical Blockchain Protocols</t>
        </is>
      </c>
      <c r="D32" s="5" t="inlineStr">
        <is>
          <t>Marcus Edwards; Atefeh Mashatan; Shohini Ghose</t>
        </is>
      </c>
      <c r="E32" s="5" t="inlineStr">
        <is>
          <t>2019</t>
        </is>
      </c>
      <c r="F32" s="5" t="inlineStr">
        <is>
          <t>10.1007/s11128-020-02672-y</t>
        </is>
      </c>
      <c r="G32" s="5" t="inlineStr">
        <is>
          <t>Blockchain technology is facing critical issues of scalability, efficiency and sustainability. These problems are necessary to solve if blockchain is to become a technology that can be used responsibly. Useful quantum computers could potentially be developed by the time that blockchain will be widely implemented for mission-critical work at financial and other institutions. Quantum computing will not only cause challenges for blockchain, but can also be harnessed to better implement parts of blockchain technologies including cryptocurrencies. We review the work that has been done in the area of quantum blockchain and hybrid quantum-classical blockchain technology and discuss open questions that remain.</t>
        </is>
      </c>
      <c r="H32" s="5" t="inlineStr">
        <is>
          <t>arxiv</t>
        </is>
      </c>
      <c r="I32" s="5" t="n"/>
      <c r="J32" s="5" t="n"/>
      <c r="K32" s="5" t="n"/>
      <c r="L32" s="5" t="n"/>
    </row>
    <row r="33">
      <c r="A33" s="5" t="n">
        <v>32</v>
      </c>
      <c r="B33" s="5" t="inlineStr">
        <is>
          <t>c926aaf0ee25</t>
        </is>
      </c>
      <c r="C33" s="5" t="inlineStr">
        <is>
          <t>Optimization Accuracy of Secured Cloud Systems Using Deep Learning Model</t>
        </is>
      </c>
      <c r="D33" s="5" t="inlineStr">
        <is>
          <t>Hindka M.</t>
        </is>
      </c>
      <c r="E33" s="5" t="inlineStr">
        <is>
          <t>2024</t>
        </is>
      </c>
      <c r="F33" s="5" t="inlineStr">
        <is>
          <t>10.1109/CONIT61985.2024.10627032</t>
        </is>
      </c>
      <c r="G33" s="5" t="inlineStr"/>
      <c r="H33" s="5" t="inlineStr">
        <is>
          <t>scopus</t>
        </is>
      </c>
      <c r="I33" s="5" t="n"/>
      <c r="J33" s="5" t="n"/>
      <c r="K33" s="5" t="n"/>
      <c r="L33" s="5" t="n"/>
    </row>
    <row r="34">
      <c r="A34" s="5" t="n">
        <v>33</v>
      </c>
      <c r="B34" s="5" t="inlineStr">
        <is>
          <t>c7c25c778034</t>
        </is>
      </c>
      <c r="C34" s="5" t="inlineStr">
        <is>
          <t>Deep Neural Networks and Fan Tokens’ Pricing in Football Clubs</t>
        </is>
      </c>
      <c r="D34" s="5" t="inlineStr">
        <is>
          <t>Alaminos D.</t>
        </is>
      </c>
      <c r="E34" s="5" t="inlineStr">
        <is>
          <t>2025</t>
        </is>
      </c>
      <c r="F34" s="5" t="inlineStr">
        <is>
          <t>10.1177/18758967251388256</t>
        </is>
      </c>
      <c r="G34" s="5" t="inlineStr"/>
      <c r="H34" s="5" t="inlineStr">
        <is>
          <t>scopus</t>
        </is>
      </c>
      <c r="I34" s="5" t="n"/>
      <c r="J34" s="5" t="n"/>
      <c r="K34" s="5" t="n"/>
      <c r="L34" s="5" t="n"/>
    </row>
    <row r="35">
      <c r="A35" s="5" t="n">
        <v>34</v>
      </c>
      <c r="B35" s="5" t="inlineStr">
        <is>
          <t>c414c0fdff51</t>
        </is>
      </c>
      <c r="C35" s="5" t="inlineStr">
        <is>
          <t>Sovereign Cognition for Enterprise AI: A Collaboration Framework Between Immortal Tek and Microsoft</t>
        </is>
      </c>
      <c r="D35" s="5" t="inlineStr">
        <is>
          <t>Brewer, Mark Anthony</t>
        </is>
      </c>
      <c r="E35" s="5" t="inlineStr">
        <is>
          <t>2025</t>
        </is>
      </c>
      <c r="F35" s="5" t="inlineStr">
        <is>
          <t>10.5281/zenodo.17602224</t>
        </is>
      </c>
      <c r="G35" s="5" t="inlineStr">
        <is>
          <t>Sovereign Cognition for Enterprise AI: A Collaboration Framework Between Immortal Tek and Microsoft Public-Safe Edition · November 2025 Abstract This white paper introduces a strategic collaboration framework between Immortal Tek and Microsoft centered on the integration of CollectiveOS — a sovereign, modular AI cognition layer — into Microsoft’s 2025 AI ecosystem. The proposed collaboration enhances Copilot, Azure AI, Microsoft Entra, and Azure Quantum Elements by introducing three major capabilities: anticipatory temporal intelligence, cryptographically verifiable AI governance, and modular persona architectures designed for enterprise-scale deployment. This public-safe paper outlines the high-level vision, value, and integration strategy without disclosing proprietary algorithms, internal mechanisms, or security-critical architecture. 1. Introduction The rapid expansion of AI across industries has exposed a series of structural challenges:• AI systems remain primarily reactive• Governance frameworks rely on trust rather than verifiable oversight• Persona-based interfaces are generic and inconsistent• Quantum computing lacks a robust stream of real-world problem inputs Immortal Tek’s CollectiveOS introduces a sovereign cognition architecture that complements Microsoft’s platform with three key innovations: Temporal Intelligence — A framework for modeling cyclical, causal, and long-wave patterns. Zero-Trust AI Governance — A cryptographically anchored audit and compliance layer. Modular Persona Systems — Standardized, domain-specific persona architectures for enterprise adoption. This collaboration is designed to accelerate Microsoft’s platform capabilities while preserving full data sovereignty for enterprise customers. 2. High-Level Collaboration Vision The proposed partnership unifies Microsoft’s global infrastructure with Immortal Tek’s sovereign AI capabilities: • Microsoft provides:Azure, Microsoft Graph, Entra, Azure Quantum Elements, Copilot, and enterprise reach. • Immortal Tek provides:A sovereign cognition layer that enhances forecasting, compliance, and human-AI interaction. Together, the two parties can establish a next-generation AI paradigm:anticipatory, verifiable, sovereign, and modular intelligence for global enterprises. 3. CollectiveOS: Public-Safe Overview CollectiveOS is a multi-layer architecture designed for: 3.1 Temporal Modeling (High-Level Concept) The system employs a temporal-pattern framework that identifies cyclical behaviors across domains such as: • supply chain logistics• energy demand• financial volatility• workforce dynamics• cybersecurity• environmental cycles This enables AI agents to offer anticipatory insight, allowing enterprise users to forecast issues before they arise. Proprietary algorithms, gear-cycle methods, and mathematical models are intentionally omitted. 3.2 Zero-Trust Governance (High-Level Concept) CollectiveOS applies cryptographic principles to AI governance, enabling: • policy-as-code interpretation• verifiable compliance signals• immutable audit pathways• privacy-preserving multi-tenant operations This complements Microsoft Entra and Azure Policy by transforming governance from a procedural checklist into a verifiable protocol. Cryptographic structures and internal Proof Vault mechanisms are intentionally excluded from this paper. 3.3 Modular Persona Architecture (Public-Safe Summary) Immortal Tek provides a structured persona framework using: • domain-specific knowledge layers• behavioral consistency profiles• ethical alignment filters• enterprise communication styles These personas are engineered for industries such as: • finance• healthcare• education• operations• customer service• gaming They can be deployed through Microsoft Copilot Studio as enterprise-ready persona modules, offering predictable and culturally aligned interactions. Low-level persona vectorization methods and representation engineering remain confidential. 4. Integration Points with Microsoft Ecosystem 4.1 Copilot Immortal Tek provides: • a temporal intelligence interface• industry-focused persona modules• proactive insight layers for planning, forecasting, and operations This upgrades Copilot from a reactive assistant to a predictive advisor. 4.2 Microsoft Entra &amp; Azure Policy CollectiveOS can provide: • verifiable compliance outputs• cryptographically bound AI action logs• governance signals for conditional access• machine-readable policy alignment This strengthens Microsoft’s trust and governance posture. 4.3 Microsoft Graph The collaboration includes: • securely structured audit and action metadata• ingestion of high-level compliance proofs• context channels for enterprise workflows Without revealing internal cryptographic structures. 4.4 Azure Quantum Elements Immortal Tek provides a high-level pipeline for: • causal modeling• problem structuring• quantum-relevant optimization formulations• enterprise-ready simulation inputs This helps Microsoft unlock meaningful quantum value for commercial customers. The causal compiler and quantum handshake mechanisms are proprietary and not disclosed. 5. Enterprise Use Cases 5.1 Supply Chain Anticipatory Planning Temporal-intelligence-enhanced Copilot can identify potential bottlenecks days or weeks in advance. 5.2 Financial Integrity Monitoring Temporal pattern detection provides early risk signatures for volatility, liquidity, or compliance issues. 5.3 Healthcare Navigation Domain personas support clinical documentation review, benefits navigation, and compliance-safe patient communication. 5.4 Energy Grid Optimization Cyclical patterns in demand, weather, and distribution provide synchronized forecasting. 5.5 Quantum-Enabled Materials &amp; Chemistry AION (abstracted) provides structured problem inputs for Azure Quantum. 6. Ethical &amp; Compliance Considerations The proposed collaboration emphasizes: • transparency• data sovereignty• verifiable governance• privacy-preserving learning• equitable access to AI capabilities The system is designed to comply with: • EU AI Act• HIPAA• SOC 2• GDPR• NIST AI RMF• ISO/IEC 42001 7. Strategic Impact This collaboration enables Microsoft to: • offer the first anticipatory enterprise AI• solve AI governance through verifiable compliance• deliver the first persona marketplace with consistent, industry-aligned behavior• extend Azure Quantum with a steady stream of structured, real-world problems• strengthen Microsoft’s position as the global leader in responsible AI Immortal Tek gains a trusted, global-scale platform to deploy sovereign cognition technologies. 8. Conclusion Immortal Tek and Microsoft have a mutually strengthening opportunity to establish a new paradigm for enterprise AI — one defined by sovereignty, anticipation, security, and modular intelligence. This public-safe white paper outlines the conceptual framework, benefits, and integration strategy without disclosing proprietary internal technologies. It is suitable for transparent scientific publication, providing clarity to researchers, enterprise customers, and strategic partners. A full technical appendix and implementation blueprint can be provided under appropriate confidentiality agreements. ADDENDUM TO THE IMMORTAL TEK PUBLIC BENEFIT &amp; COMMERCIAL RESERVATION LICENSE (IT-PBCR License v1.0) Addendum v1.1 — Sovereign Protections, AI-Era Restrictions, and Future-Use Boundaries Effective Date: November 2025Applies To: All Works released under IT-PBCR License v1.0 Section A — Sovereign Derivative Boundary Extended Non-Commercial Status of DerivativesAll derivative works created from the original Work — including but not limited to research prototypes, academic implementations, experimental frameworks, simulations, or conceptual expansions — remain bound by the non-commercial terms of the IT-PBCR License. Commercial Transition ProhibitionNo derivative work may be converted to commercial use, integrated into a commercial service, or sublicensed for profit without a written commercial agreement authorized by Immortal Tek. Prohibition on “Shadow Commercialization”Any attempt to reclassify, rebrand, or restructure derivatives to obscure commercial intent is considered a material breach of this Addendum. Section B — Machine Learning Model Extraction &amp; Training Restriction Commercial Model Training BanThe Work, including its text, diagrams, structure, terminology, or systems architecture, may not be used to train, tune, evaluate, or supervise machine learning models intended for commercial use. Embeddings &amp; Dataset ProhibitionThe creation of embeddings, token corpora, knowledge graphs, ontologies, or datasets for commercial AI systems is prohibited. Reverse Engineering RestrictionThe Work may not be used for reverse engineering, model extraction, or knowledge distillation activities aimed at reproducing proprietary architectures or methodologies of Immortal Tek. Non-Commercial Research ExceptionAcademic and nonprofit machine learning experiments are permitted only if:• results remain openly published,• no commercialization occurs, and• no attempt is made to replicate proprietary systems of Immortal Tek. Section C — Collective IP Continuity &amp; Future Inheritance Clause Automatic Protection of Future VersionsAll future versions, extensions, refinements, conceptual evolutions, and unpublished internal details of the Work are automatically covered by the same commercial reservations and non-commercial restrictions. Continuity Across ModalitiesThis protection applies to:• textual descriptions• diagrams• conceptual frameworks• software architectures• governance models• temporal intelligence frameworks• persona systems• cryptographic governance schemas• quantum-relevant structures• any future modality not yet defined No Implied LicensePublication of any part of the Work does not imply permission for:• commerci</t>
        </is>
      </c>
      <c r="H35" s="5" t="inlineStr">
        <is>
          <t>openalex</t>
        </is>
      </c>
      <c r="I35" s="5" t="n"/>
      <c r="J35" s="5" t="n"/>
      <c r="K35" s="5" t="n"/>
      <c r="L35" s="5" t="n"/>
    </row>
    <row r="36">
      <c r="A36" s="5" t="n">
        <v>35</v>
      </c>
      <c r="B36" s="5" t="inlineStr">
        <is>
          <t>0cfd33edfd1a</t>
        </is>
      </c>
      <c r="C36" s="5" t="inlineStr">
        <is>
          <t>Empowering Credit Scoring Systems with Quantum-Enhanced Machine Learning</t>
        </is>
      </c>
      <c r="D36" s="5" t="inlineStr">
        <is>
          <t>Javier Mancilla; André Sequeira; Tomas Tagliani; Francisco Llaneza; Claudio Beiza</t>
        </is>
      </c>
      <c r="E36" s="5" t="inlineStr">
        <is>
          <t>2024</t>
        </is>
      </c>
      <c r="F36" s="5" t="inlineStr"/>
      <c r="G36" s="5" t="inlineStr">
        <is>
          <t>Quantum Kernels are projected to provide early-stage usefulness for quantum machine learning. However, highly sophisticated classical models are hard to surpass without losing interpretability, particularly when vast datasets can be exploited. Nonetheless, classical models struggle once data is scarce and skewed. Quantum feature spaces are projected to find better links between data features and the target class to be predicted even in such challenging scenarios and most importantly, enhanced generalization capabilities. In this work, we propose a novel approach called Systemic Quantum Score (SQS) and provide preliminary results indicating potential advantage over purely classical models in a production grade use case for the Finance sector. SQS shows in our specific study an increased capacity to extract patterns out of fewer data points as well as improved performance over data-hungry algorithms such as XGBoost, providing advantage in a competitive market as it is the FinTech and Neobank regime.</t>
        </is>
      </c>
      <c r="H36" s="5" t="inlineStr">
        <is>
          <t>arxiv</t>
        </is>
      </c>
      <c r="I36" s="5" t="n"/>
      <c r="J36" s="5" t="n"/>
      <c r="K36" s="5" t="n"/>
      <c r="L36" s="5" t="n"/>
    </row>
    <row r="37">
      <c r="A37" s="5" t="n">
        <v>36</v>
      </c>
      <c r="B37" s="5" t="inlineStr">
        <is>
          <t>59dafca9d3c7</t>
        </is>
      </c>
      <c r="C37" s="5" t="inlineStr">
        <is>
          <t>EXPONENTIAL IMPROVEMENT IN PRECISION FOR SIMULATING SPARSE HAMILTONIANS</t>
        </is>
      </c>
      <c r="D37" s="5" t="inlineStr">
        <is>
          <t>Dominic W. Berry; Andrew M. Childs; Richard Cleve; Robin Kothari; Rolando D. Somma</t>
        </is>
      </c>
      <c r="E37" s="5" t="inlineStr">
        <is>
          <t>2017</t>
        </is>
      </c>
      <c r="F37" s="5" t="inlineStr">
        <is>
          <t>10.1017/fms.2017.2</t>
        </is>
      </c>
      <c r="G37" s="5" t="inlineStr">
        <is>
          <t>We provide a quantum algorithm for simulating the dynamics of sparse Hamiltonians with complexity sublogarithmic in the inverse error, an exponential improvement over previous methods. Specifically, we show that a $d$ -sparse Hamiltonian $H$ acting on $n$ qubits can be simulated for time $t$ with precision $\unicode[STIX]{x1D716}$ using $O(\unicode[STIX]{x1D70F}(\log (\unicode[STIX]{x1D70F}/\unicode[STIX]{x1D716})/\log \log (\unicode[STIX]{x1D70F}/\unicode[STIX]{x1D716})))$ queries and $O(\unicode[STIX]{x1D70F}(\log ^{2}(\unicode[STIX]{x1D70F}/\unicode[STIX]{x1D716})/\log \log (\unicode[STIX]{x1D70F}/\unicode[STIX]{x1D716}))n)$ additional 2-qubit gates, where $\unicode[STIX]{x1D70F}=d^{2}\Vert H\Vert _{\max }t$ . Unlike previous approaches based on product formulas, the query complexity is independent of the number of qubits acted on, and for time-varying Hamiltonians, the gate complexity is logarithmic in the norm of the derivative of the Hamiltonian. Our algorithm is based on a significantly improved simulation of the continuous- and fractional-query models using discrete quantum queries, showing that the former models are not much more powerful than the discrete model even for very small error. We also simplify the analysis of this conversion, avoiding the need for a complex fault-correction procedure. Our simplification relies on a new form of ‘oblivious amplitude amplification’ that can be applied even though the reflection about the input state is unavailable. Finally, we prove new lower bounds showing that our algorithms are optimal as a function of the error.</t>
        </is>
      </c>
      <c r="H37" s="5" t="inlineStr">
        <is>
          <t>openalex</t>
        </is>
      </c>
      <c r="I37" s="5" t="n"/>
      <c r="J37" s="5" t="n"/>
      <c r="K37" s="5" t="n"/>
      <c r="L37" s="5" t="n"/>
    </row>
    <row r="38">
      <c r="A38" s="5" t="n">
        <v>37</v>
      </c>
      <c r="B38" s="5" t="inlineStr">
        <is>
          <t>c408c3291034</t>
        </is>
      </c>
      <c r="C38" s="5" t="inlineStr">
        <is>
          <t>Applications of Quantum Machine Learning in Financial Services</t>
        </is>
      </c>
      <c r="D38" s="5" t="inlineStr">
        <is>
          <t>Bhuvaneswari S.</t>
        </is>
      </c>
      <c r="E38" s="5" t="inlineStr">
        <is>
          <t>2025</t>
        </is>
      </c>
      <c r="F38" s="5" t="inlineStr"/>
      <c r="G38" s="5" t="inlineStr"/>
      <c r="H38" s="5" t="inlineStr">
        <is>
          <t>scopus</t>
        </is>
      </c>
      <c r="I38" s="5" t="n"/>
      <c r="J38" s="5" t="n"/>
      <c r="K38" s="5" t="n"/>
      <c r="L38" s="5" t="n"/>
    </row>
    <row r="39">
      <c r="A39" s="5" t="n">
        <v>38</v>
      </c>
      <c r="B39" s="5" t="inlineStr">
        <is>
          <t>e8235233a1dc</t>
        </is>
      </c>
      <c r="C39" s="5" t="inlineStr">
        <is>
          <t>Software for Creating Scalable Benchmarks from Quantum Algorithms</t>
        </is>
      </c>
      <c r="D39" s="5" t="inlineStr">
        <is>
          <t>Noah Siekierski; Stefan Seritan; Neer Patel; Siyuan Niu; Thomas Lubinski; Timothy Proctor</t>
        </is>
      </c>
      <c r="E39" s="5" t="inlineStr">
        <is>
          <t>2025</t>
        </is>
      </c>
      <c r="F39" s="5" t="inlineStr"/>
      <c r="G39" s="5" t="inlineStr">
        <is>
          <t>Creating scalable, reliable, and well-motivated benchmarks for quantum computers is challenging: straightforward approaches to benchmarking suffer from exponential scaling, are insensitive to important errors, or use poorly-motivated performance metrics. Furthermore, curated benchmarking suites cannot include every interesting quantum circuit or algorithm, which necessitates a tool that enables the easy creation of new benchmarks. In this work, we introduce a software tool for creating scalable and reliable benchmarks that measure a well-motivated performance metric (process fidelity) from user-chosen quantum circuits and algorithms. Our software, called $\texttt{scarab}$, enables the creation of efficient and robust benchmarks even from circuits containing thousands or millions of qubits, by employing efficient fidelity estimation techniques, including mirror circuit fidelity estimation and subcircuit volumetric benchmarking. $\texttt{scarab}$ provides a simple interface that enables the creation of reliable benchmarks by users who are not experts in the theory of quantum computer benchmarking or noise. We demonstrate the flexibility and power of $\texttt{scarab}$ by using it to turn existing inefficient benchmarks into efficient benchmarks, to create benchmarks that interrogate hardware and algorithmic trade-offs in Hamiltonian simulation, to quantify the in-situ efficacy of approximate circuit compilation, and to create benchmarks that use subcircuits to measure progress towards executing a circuit of interest.</t>
        </is>
      </c>
      <c r="H39" s="5" t="inlineStr">
        <is>
          <t>arxiv</t>
        </is>
      </c>
      <c r="I39" s="5" t="n"/>
      <c r="J39" s="5" t="n"/>
      <c r="K39" s="5" t="n"/>
      <c r="L39" s="5" t="n"/>
    </row>
    <row r="40">
      <c r="A40" s="5" t="n">
        <v>39</v>
      </c>
      <c r="B40" s="5" t="inlineStr">
        <is>
          <t>8bba31738f5f</t>
        </is>
      </c>
      <c r="C40" s="5" t="inlineStr">
        <is>
          <t>Quantum-Classical Auxiliary Field Quantum Monte Carlo with Matchgate Shadows on Trapped Ion Quantum Computers</t>
        </is>
      </c>
      <c r="D40" s="5" t="inlineStr">
        <is>
          <t>Luning Zhao; Joshua J. Goings; Willie Aboumrad; Andrew Arrasmith; Lazaro Calderin; Spencer Churchill; Dor Gabay; Thea Harvey-Brown; Melanie Hiles; Magda Kaja; Matthew Keesan; Karolina Kulesz; Andrii Maksymov; Mei Maruo; Mauricio Muñoz; Bas Nijholt; Rebekah Schiller; Yvette de Sereville; Amy Smidutz; Felix Tripier; Grace Yao; Trishal Zaveri; Coleman Collins; Martin Roetteler; Evgeny Epifanovsky; Arseny Kovyrshin; Lars Tornberg; Anders Broo; Jeff R. Hammond; Zohim Chandani; Pradnya Khalate; Elica Kyoseva; Yi-Ting Chen; Eric M. Kessler; Cedric Yen-Yu Lin; Gandhi Ramu; Ryan Shaffer; Michael Brett; Benchen Huang; Maxime R. Hugues; Tyler Y. Takeshita</t>
        </is>
      </c>
      <c r="E40" s="5" t="inlineStr">
        <is>
          <t>2025</t>
        </is>
      </c>
      <c r="F40" s="5" t="inlineStr"/>
      <c r="G40" s="5" t="inlineStr">
        <is>
          <t>We demonstrate an end-to-end workflow to model chemical reaction barriers with the quantum-classical auxiliary field quantum Monte Carlo (QC-AFQMC) algorithm with quantum tomography using matchgate shadows. The workflow operates within an accelerated quantum supercomputing environment with the IonQ Forte quantum computer and NVIDIA GPUs on Amazon Web Services. We present several algorithmic innovations and an efficient GPU-accelerated execution, which achieves a several orders of magnitude speedup over the state-of-the-art implementation of QC-AFQMC. We apply the algorithm to simulate the oxidative addition step of the nickel-catalyzed Suzuki-Miyaura reaction using 24 qubits of IonQ Forte with 16 qubits used to represent the trial state, plus 8 additional ancilla qubits for error mitigation, resulting in the largest QC-AFQMC with matchgate shadow experiments ever performed on quantum hardware. We achieve a $9\times$ speedup in collecting matchgate circuit measurements, and our distributed-parallel post-processing implementation attains a $656\times$ time-to-solution improvement over the prior state-of-the-art. Chemical reaction barriers for the model reaction evaluated with active-space QC-AFQMC are within the uncertainty interval of $\pm4$ kcal/mol from the reference CCSD(T) result when matchgates are sampled on the ideal simulator and within 10 kcal/mol from reference when measured on QPU. This work marks a step towards practical quantum chemistry simulations on quantum devices while identifying several opportunities for further development.</t>
        </is>
      </c>
      <c r="H40" s="5" t="inlineStr">
        <is>
          <t>arxiv</t>
        </is>
      </c>
      <c r="I40" s="5" t="n"/>
      <c r="J40" s="5" t="n"/>
      <c r="K40" s="5" t="n"/>
      <c r="L40" s="5" t="n"/>
    </row>
    <row r="41">
      <c r="A41" s="5" t="n">
        <v>40</v>
      </c>
      <c r="B41" s="5" t="inlineStr">
        <is>
          <t>2fd1c20f13cb</t>
        </is>
      </c>
      <c r="C41" s="5" t="inlineStr">
        <is>
          <t>Innovations and Challenges in Computing, Games, and Data Science</t>
        </is>
      </c>
      <c r="D41" s="5" t="inlineStr">
        <is>
          <t>Bijalwan A.</t>
        </is>
      </c>
      <c r="E41" s="5" t="inlineStr">
        <is>
          <t>2025</t>
        </is>
      </c>
      <c r="F41" s="5" t="inlineStr">
        <is>
          <t>10.4018/979-8-3373-2647-4</t>
        </is>
      </c>
      <c r="G41" s="5" t="inlineStr"/>
      <c r="H41" s="5" t="inlineStr">
        <is>
          <t>scopus</t>
        </is>
      </c>
      <c r="I41" s="5" t="n"/>
      <c r="J41" s="5" t="n"/>
      <c r="K41" s="5" t="n"/>
      <c r="L41" s="5" t="n"/>
    </row>
    <row r="42">
      <c r="A42" s="5" t="n">
        <v>41</v>
      </c>
      <c r="B42" s="5" t="inlineStr">
        <is>
          <t>48c87934ef61</t>
        </is>
      </c>
      <c r="C42" s="5" t="inlineStr">
        <is>
          <t>Enhancing Quantum Expectation Values via Exponential Error Suppression and CVaR Optimization</t>
        </is>
      </c>
      <c r="D42" s="5" t="inlineStr">
        <is>
          <t>Touheed Anwar Atif; Reuben Blake Tate; Stephan Eidenbenz</t>
        </is>
      </c>
      <c r="E42" s="5" t="inlineStr">
        <is>
          <t>2025</t>
        </is>
      </c>
      <c r="F42" s="5" t="inlineStr"/>
      <c r="G42" s="5" t="inlineStr">
        <is>
          <t>Precise quantum expectation values are crucial for quantum algorithm development, but noise in real-world systems can degrade these estimations. While quantum error correction is resource-intensive, error mitigation strategies offer a practical alternative. This paper presents a framework that combines Virtual Channel Purification (VCP) technique with Conditional Value-at-Risk (CVaR) optimization to improve expectation value estimations in noisy quantum circuits. Our contributions are twofold: first, we derive conditions to compare CVaR values from different probability distributions, offering insights into the reliability of quantum estimations under noise. Second, we apply this framework to VCP, providing analytical bounds that establish its effectiveness in improving expectation values, both when the overhead VCP circuit is ideal (error-free) and when it adds additional noise. By introducing CVaR into the analysis of VCP, we offer a general noise-characterization method that guarantees improved expectation values for any quantum observable. We demonstrate the practical utility of our approach with numerical examples, highlighting how our bounds guide VCP implementation in noisy quantum systems.</t>
        </is>
      </c>
      <c r="H42" s="5" t="inlineStr">
        <is>
          <t>arxiv</t>
        </is>
      </c>
      <c r="I42" s="5" t="n"/>
      <c r="J42" s="5" t="n"/>
      <c r="K42" s="5" t="n"/>
      <c r="L42" s="5" t="n"/>
    </row>
    <row r="43">
      <c r="A43" s="5" t="n">
        <v>42</v>
      </c>
      <c r="B43" s="5" t="inlineStr">
        <is>
          <t>53df43423d3e</t>
        </is>
      </c>
      <c r="C43" s="5" t="inlineStr">
        <is>
          <t>Quantum-Assisted Hyperparameter Tuning Challenge for Financial Fraud Detection</t>
        </is>
      </c>
      <c r="D43" s="5" t="inlineStr">
        <is>
          <t>Ehbali C.</t>
        </is>
      </c>
      <c r="E43" s="5" t="inlineStr">
        <is>
          <t>2025</t>
        </is>
      </c>
      <c r="F43" s="5" t="inlineStr">
        <is>
          <t>10.1007/978-3-031-88304-0_65</t>
        </is>
      </c>
      <c r="G43" s="5" t="inlineStr"/>
      <c r="H43" s="5" t="inlineStr">
        <is>
          <t>scopus</t>
        </is>
      </c>
      <c r="I43" s="5" t="n"/>
      <c r="J43" s="5" t="n"/>
      <c r="K43" s="5" t="n"/>
      <c r="L43" s="5" t="n"/>
    </row>
    <row r="44">
      <c r="A44" s="5" t="n">
        <v>43</v>
      </c>
      <c r="B44" s="5" t="inlineStr">
        <is>
          <t>8c043b163d2c</t>
        </is>
      </c>
      <c r="C44" s="5" t="inlineStr">
        <is>
          <t>QFDNN: A Resource-Efficient Variational Quantum Feature Deep Neural Networks for Fraud Detection and Loan Prediction</t>
        </is>
      </c>
      <c r="D44" s="5" t="inlineStr">
        <is>
          <t>Das S.</t>
        </is>
      </c>
      <c r="E44" s="5" t="inlineStr">
        <is>
          <t>2025</t>
        </is>
      </c>
      <c r="F44" s="5" t="inlineStr">
        <is>
          <t>10.1109/TCSS.2025.3568618</t>
        </is>
      </c>
      <c r="G44" s="5" t="inlineStr"/>
      <c r="H44" s="5" t="inlineStr">
        <is>
          <t>scopus</t>
        </is>
      </c>
      <c r="I44" s="5" t="n"/>
      <c r="J44" s="5" t="n"/>
      <c r="K44" s="5" t="n"/>
      <c r="L44" s="5" t="n"/>
    </row>
    <row r="45">
      <c r="A45" s="5" t="n">
        <v>44</v>
      </c>
      <c r="B45" s="5" t="inlineStr">
        <is>
          <t>013c62b365f6</t>
        </is>
      </c>
      <c r="C45" s="5" t="inlineStr">
        <is>
          <t>Quantum Artificial Intelligence Transforming the Future of Computing</t>
        </is>
      </c>
      <c r="D45" s="5" t="inlineStr">
        <is>
          <t>V. Geetha; C. Gomathy; R. Bhargava; P. Vikas</t>
        </is>
      </c>
      <c r="E45" s="5" t="inlineStr">
        <is>
          <t>2025</t>
        </is>
      </c>
      <c r="F45" s="5" t="inlineStr">
        <is>
          <t>10.15680/ijarety.2025.1202021</t>
        </is>
      </c>
      <c r="G45" s="5" t="inlineStr">
        <is>
          <t>Quantum Artificial Intelligence (Quantum AI) combines the strengths of Quantum Computing and
Artificial Intelligence (AI). By using the principles of quantum mechanics, it improves data processing, optimizes
complex problems, and leads to breakthroughs in areas like drug discovery, financial fraud detection, and transportation
logistics. This article examines the core technologies of Quantum AI, its possible applications, challenges, and ongoing
research. We will explore how Quantum AI could change computing and highlight key innovations that will shape its
future.</t>
        </is>
      </c>
      <c r="H45" s="5" t="inlineStr">
        <is>
          <t>semantic_scholar</t>
        </is>
      </c>
      <c r="I45" s="5" t="n"/>
      <c r="J45" s="5" t="n"/>
      <c r="K45" s="5" t="n"/>
      <c r="L45" s="5" t="n"/>
    </row>
    <row r="46">
      <c r="A46" s="5" t="n">
        <v>45</v>
      </c>
      <c r="B46" s="5" t="inlineStr">
        <is>
          <t>7b3bc72955a2</t>
        </is>
      </c>
      <c r="C46" s="5" t="inlineStr">
        <is>
          <t>Fast and memory-efficient strong simulation of noisy adaptive linear optical circuits</t>
        </is>
      </c>
      <c r="D46" s="5" t="inlineStr">
        <is>
          <t>Timothée Goubault De Brugi; Nicolas Heurtel</t>
        </is>
      </c>
      <c r="E46" s="5" t="inlineStr">
        <is>
          <t>2026</t>
        </is>
      </c>
      <c r="F46" s="5" t="inlineStr">
        <is>
          <t>10.1016/j.cpc.2025.110016</t>
        </is>
      </c>
      <c r="G46" s="5" t="inlineStr"/>
      <c r="H46" s="5" t="inlineStr">
        <is>
          <t>openalex</t>
        </is>
      </c>
      <c r="I46" s="5" t="n"/>
      <c r="J46" s="5" t="n"/>
      <c r="K46" s="5" t="n"/>
      <c r="L46" s="5" t="n"/>
    </row>
    <row r="47">
      <c r="A47" s="5" t="n">
        <v>46</v>
      </c>
      <c r="B47" s="5" t="inlineStr">
        <is>
          <t>c70ae91a70de</t>
        </is>
      </c>
      <c r="C47" s="5" t="inlineStr">
        <is>
          <t>The Lie Algebra of XY-mixer Topologies and Warm Starting QAOA for Constrained Optimization</t>
        </is>
      </c>
      <c r="D47" s="5" t="inlineStr">
        <is>
          <t>Steven Kordonowy; Hannes Leipold</t>
        </is>
      </c>
      <c r="E47" s="5" t="inlineStr">
        <is>
          <t>2025</t>
        </is>
      </c>
      <c r="F47" s="5" t="inlineStr">
        <is>
          <t>10.1038/s41534-026-01192-4</t>
        </is>
      </c>
      <c r="G47" s="5" t="inlineStr">
        <is>
          <t>The XY-mixer has widespread utilization in modern quantum computing, including in variational quantum algorithms, such as Quantum Alternating Operator Ansatz (QAOA). The XY ansatz is particularly useful for solving Cardinality Constrained Optimization tasks, a large class of important NP-hard problems. First, we give explicit decompositions of the dynamical Lie algebras (DLAs) associated with a variety of $XY$-mixer topologies. When these DLAs admit simple Lie algebra decompositions, they are efficiently trainable. An example of this scenario is a ring $XY$-mixer with arbitrary $R_Z$ gates. Conversely, when we allow for all-to-all $XY$-mixers or include $R_{ZZ}$ gates, the DLAs grow exponentially and are no longer efficiently trainable.   We provide numerical simulations showcasing these concepts on Portfolio Optimization, Sparsest $k$-Subgraph, and Graph Partitioning problems. These problems correspond to exponentially-large DLAs and we are able to warm-start these optimizations by pre-training on polynomial-sized DLAs by restricting the gate generators. This results in improved convergence to high quality optima of the original task, providing dramatic performance benefits in terms of solution sampling and approximation ratio on optimization tasks for both shared angle and multi-angle QAOA.</t>
        </is>
      </c>
      <c r="H47" s="5" t="inlineStr">
        <is>
          <t>arxiv</t>
        </is>
      </c>
      <c r="I47" s="5" t="n"/>
      <c r="J47" s="5" t="n"/>
      <c r="K47" s="5" t="n"/>
      <c r="L47" s="5" t="n"/>
    </row>
    <row r="48">
      <c r="A48" s="5" t="n">
        <v>47</v>
      </c>
      <c r="B48" s="5" t="inlineStr">
        <is>
          <t>a242429edd00</t>
        </is>
      </c>
      <c r="C48" s="5" t="inlineStr">
        <is>
          <t>A Systematic Literature Review of Classical and Quantum Machine Learning Approaches for Mutual Fund Portfolio Optimization</t>
        </is>
      </c>
      <c r="D48" s="5" t="inlineStr">
        <is>
          <t>Fernandes L.</t>
        </is>
      </c>
      <c r="E48" s="5" t="inlineStr">
        <is>
          <t>2023</t>
        </is>
      </c>
      <c r="F48" s="5" t="inlineStr">
        <is>
          <t>10.1109/PuneCon58714.2023.10450063</t>
        </is>
      </c>
      <c r="G48" s="5" t="inlineStr"/>
      <c r="H48" s="5" t="inlineStr">
        <is>
          <t>scopus</t>
        </is>
      </c>
      <c r="I48" s="5" t="n"/>
      <c r="J48" s="5" t="n"/>
      <c r="K48" s="5" t="n"/>
      <c r="L48" s="5" t="n"/>
    </row>
    <row r="49">
      <c r="A49" s="5" t="n">
        <v>48</v>
      </c>
      <c r="B49" s="5" t="inlineStr">
        <is>
          <t>478a80a17e05</t>
        </is>
      </c>
      <c r="C49" s="5" t="inlineStr">
        <is>
          <t>Quantum computing-Enhanced AI systems for advanced business intelligence applications</t>
        </is>
      </c>
      <c r="D49" s="5" t="inlineStr">
        <is>
          <t>Itunu Taiwo; Adeyinka Ogunbajo; Adefemi Quddus Abidola</t>
        </is>
      </c>
      <c r="E49" s="5" t="inlineStr">
        <is>
          <t>2025</t>
        </is>
      </c>
      <c r="F49" s="5" t="inlineStr">
        <is>
          <t>10.30574/ijsra.2025.14.1.0314</t>
        </is>
      </c>
      <c r="G49" s="5" t="inlineStr">
        <is>
          <t>The convergence of quantum computing and artificial intelligence represents a transformative technological paradigm with unprecedented potential for business intelligence applications. This comprehensive review critically examines the revolutionary capabilities of quantum computing-enhanced AI systems in addressing complex computational challenges across multiple business domains. Through systematic analysis of emerging research, implementation frameworks, and interdisciplinary case studies, we investigate how quantum computing's unique computational mechanisms can fundamentally reshape data analysis, strategic decision-making, and predictive modeling. Our comprehensive examination reveals that quantum AI systems demonstrate remarkable potential to reduce computational complexity by up to 90%, enhance predictive accuracy by 60-75%, and provide unprecedented insights across financial, logistical, and strategic business intelligence domains. The research synthesizes evidence from multiple technological domains, highlighting the transformative potential of quantum-enhanced AI in solving previously intractable computational problems. By exploring technological capabilities, implementation challenges, and future research directions, this review provides a critical framework for understanding the emerging intersection of quantum computing and artificial intelligence in advanced business intelligence applications.</t>
        </is>
      </c>
      <c r="H49" s="5" t="inlineStr">
        <is>
          <t>semantic_scholar</t>
        </is>
      </c>
      <c r="I49" s="5" t="n"/>
      <c r="J49" s="5" t="n"/>
      <c r="K49" s="5" t="n"/>
      <c r="L49" s="5" t="n"/>
    </row>
    <row r="50">
      <c r="A50" s="5" t="n">
        <v>49</v>
      </c>
      <c r="B50" s="5" t="inlineStr">
        <is>
          <t>67445f0a13ee</t>
        </is>
      </c>
      <c r="C50" s="5" t="inlineStr">
        <is>
          <t>Variational Quantum Monte Carlo Method with a Neural-Network Ansatz for Open Quantum Systems</t>
        </is>
      </c>
      <c r="D50" s="5" t="inlineStr">
        <is>
          <t>Alexandra Nagy; Vincenzo Savona</t>
        </is>
      </c>
      <c r="E50" s="5" t="inlineStr">
        <is>
          <t>2019</t>
        </is>
      </c>
      <c r="F50" s="5" t="inlineStr">
        <is>
          <t>10.1103/PhysRevLett.122.250501</t>
        </is>
      </c>
      <c r="G50" s="5" t="inlineStr">
        <is>
          <t>The possibility to simulate the properties of many-body open quantum systems with a large number of degrees of freedom is the premise to the solution of several outstanding problems in quantum science and quantum information. The challenge posed by this task lies in the complexity of the density matrix increasing exponentially with the system size. Here, we develop a variational method to efficiently simulate the non-equilibrium steady state of Markovian open quantum systems based on variational Monte Carlo and on a neural network representation of the density matrix. Thanks to the stochastic reconfiguration scheme, the application of the variational principle is translated into the actual integration of the quantum master equation. We test the effectiveness of the method by modeling the two-dimensional dissipative XYZ spin model on a lattice.</t>
        </is>
      </c>
      <c r="H50" s="5" t="inlineStr">
        <is>
          <t>arxiv</t>
        </is>
      </c>
      <c r="I50" s="5" t="n"/>
      <c r="J50" s="5" t="n"/>
      <c r="K50" s="5" t="n"/>
      <c r="L50" s="5" t="n"/>
    </row>
    <row r="51">
      <c r="A51" s="5" t="n">
        <v>50</v>
      </c>
      <c r="B51" s="5" t="inlineStr">
        <is>
          <t>101bf1ed5a7b</t>
        </is>
      </c>
      <c r="C51" s="5" t="inlineStr">
        <is>
          <t>QML Algorithm for Market Pattern Detection in High-Frequency Trading for Banking</t>
        </is>
      </c>
      <c r="D51" s="5" t="inlineStr">
        <is>
          <t>Gupta H.</t>
        </is>
      </c>
      <c r="E51" s="5" t="inlineStr">
        <is>
          <t>2025</t>
        </is>
      </c>
      <c r="F51" s="5" t="inlineStr">
        <is>
          <t>10.1109/CISES66934.2025.11265399</t>
        </is>
      </c>
      <c r="G51" s="5" t="inlineStr"/>
      <c r="H51" s="5" t="inlineStr">
        <is>
          <t>scopus</t>
        </is>
      </c>
      <c r="I51" s="5" t="n"/>
      <c r="J51" s="5" t="n"/>
      <c r="K51" s="5" t="n"/>
      <c r="L51" s="5" t="n"/>
    </row>
  </sheetData>
  <autoFilter ref="A1:L51"/>
  <conditionalFormatting sqref="I2:I51">
    <cfRule type="cellIs" priority="1" operator="equal" dxfId="0">
      <formula>"include"</formula>
    </cfRule>
    <cfRule type="cellIs" priority="2" operator="equal" dxfId="1">
      <formula>"exclude"</formula>
    </cfRule>
    <cfRule type="cellIs" priority="3" operator="equal" dxfId="2">
      <formula>"maybe"</formula>
    </cfRule>
  </conditionalFormatting>
  <conditionalFormatting sqref="J2:J51">
    <cfRule type="cellIs" priority="4" operator="equal" dxfId="0">
      <formula>"include"</formula>
    </cfRule>
    <cfRule type="cellIs" priority="5" operator="equal" dxfId="1">
      <formula>"exclude"</formula>
    </cfRule>
    <cfRule type="cellIs" priority="6" operator="equal" dxfId="2">
      <formula>"maybe"</formula>
    </cfRule>
  </conditionalFormatting>
  <conditionalFormatting sqref="K2:K51">
    <cfRule type="cellIs" priority="7" operator="equal" dxfId="0">
      <formula>"include"</formula>
    </cfRule>
    <cfRule type="cellIs" priority="8" operator="equal" dxfId="1">
      <formula>"exclude"</formula>
    </cfRule>
    <cfRule type="cellIs" priority="9" operator="equal" dxfId="2">
      <formula>"maybe"</formula>
    </cfRule>
  </conditionalFormatting>
  <dataValidations count="1">
    <dataValidation sqref="I2 I3 I4 I5 I6 I7 I8 I9 I10 I11 I12 I13 I14 I15 I16 I17 I18 I19 I20 I21 I22 I23 I24 I25 I26 I27 I28 I29 I30 I31 I32 I33 I34 I35 I36 I37 I38 I39 I40 I41 I42 I43 I44 I45 I46 I47 I48 I49 I50 I51 J2 J3 J4 J5 J6 J7 J8 J9 J10 J11 J12 J13 J14 J15 J16 J17 J18 J19 J20 J21 J22 J23 J24 J25 J26 J27 J28 J29 J30 J31 J32 J33 J34 J35 J36 J37 J38 J39 J40 J41 J42 J43 J44 J45 J46 J47 J48 J49 J50 J51 K2 K3 K4 K5 K6 K7 K8 K9 K10 K11 K12 K13 K14 K15 K16 K17 K18 K19 K20 K21 K22 K23 K24 K25 K26 K27 K28 K29 K30 K31 K32 K33 K34 K35 K36 K37 K38 K39 K40 K41 K42 K43 K44 K45 K46 K47 K48 K49 K50 K51" showDropDown="0" showInputMessage="0" showErrorMessage="0" allowBlank="1" errorTitle="Invalid decision" error="Please select: include, exclude, or maybe" promptTitle="Decision" prompt="Select your screening decision" type="list">
      <formula1>"include,exclude,maybe"</formula1>
    </dataValidation>
  </dataValidations>
  <pageMargins left="0.75" right="0.75" top="1" bottom="1" header="0.5" footer="0.5"/>
</worksheet>
</file>

<file path=xl/worksheets/sheet3.xml><?xml version="1.0" encoding="utf-8"?>
<worksheet xmlns="http://schemas.openxmlformats.org/spreadsheetml/2006/main">
  <sheetPr>
    <tabColor rgb="0000B050"/>
    <outlinePr summaryBelow="1" summaryRight="1"/>
    <pageSetUpPr/>
  </sheetPr>
  <dimension ref="A1:C8"/>
  <sheetViews>
    <sheetView workbookViewId="0">
      <selection activeCell="A1" sqref="A1"/>
    </sheetView>
  </sheetViews>
  <sheetFormatPr baseColWidth="8" defaultRowHeight="15"/>
  <cols>
    <col width="18" customWidth="1" min="1" max="1"/>
    <col width="14" customWidth="1" min="2" max="2"/>
    <col width="14" customWidth="1" min="3" max="3"/>
  </cols>
  <sheetData>
    <row r="1">
      <c r="A1" s="6" t="inlineStr">
        <is>
          <t>Metric</t>
        </is>
      </c>
      <c r="B1" s="6" t="inlineStr">
        <is>
          <t>Count</t>
        </is>
      </c>
      <c r="C1" s="6" t="inlineStr">
        <is>
          <t>Percentage</t>
        </is>
      </c>
    </row>
    <row r="2">
      <c r="A2" s="3" t="inlineStr">
        <is>
          <t>Total records</t>
        </is>
      </c>
      <c r="B2" s="7" t="inlineStr">
        <is>
          <t>50</t>
        </is>
      </c>
      <c r="C2" s="8" t="inlineStr"/>
    </row>
    <row r="3">
      <c r="A3" s="3" t="inlineStr">
        <is>
          <t>Screened</t>
        </is>
      </c>
      <c r="B3" s="7">
        <f>COUNTA('Screening'.I2:I51)</f>
        <v/>
      </c>
      <c r="C3" s="8">
        <f>B3/B2</f>
        <v/>
      </c>
    </row>
    <row r="4">
      <c r="A4" s="3" t="inlineStr">
        <is>
          <t>Remaining</t>
        </is>
      </c>
      <c r="B4" s="7">
        <f>B2-B3</f>
        <v/>
      </c>
      <c r="C4" s="8">
        <f>B4/B2</f>
        <v/>
      </c>
    </row>
    <row r="5">
      <c r="A5" s="2" t="inlineStr"/>
      <c r="B5" s="7" t="inlineStr"/>
      <c r="C5" s="8" t="inlineStr"/>
    </row>
    <row r="6">
      <c r="A6" s="3" t="inlineStr">
        <is>
          <t>Include</t>
        </is>
      </c>
      <c r="B6" s="7">
        <f>COUNTIF('Screening'.I2:I51,"include")</f>
        <v/>
      </c>
      <c r="C6" s="8">
        <f>IF(B3&gt;0,B7/B3,"")</f>
        <v/>
      </c>
    </row>
    <row r="7">
      <c r="A7" s="3" t="inlineStr">
        <is>
          <t>Exclude</t>
        </is>
      </c>
      <c r="B7" s="7">
        <f>COUNTIF('Screening'.I2:I51,"exclude")</f>
        <v/>
      </c>
      <c r="C7" s="8">
        <f>IF(B3&gt;0,B8/B3,"")</f>
        <v/>
      </c>
    </row>
    <row r="8">
      <c r="A8" s="3" t="inlineStr">
        <is>
          <t>Maybe</t>
        </is>
      </c>
      <c r="B8" s="7">
        <f>COUNTIF('Screening'.I2:I51,"maybe")</f>
        <v/>
      </c>
      <c r="C8" s="8">
        <f>IF(B3&gt;0,B9/B3,"")</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2026-03-13T11:39:56Z</dcterms:created>
  <dcterms:modified xsi:type="dcterms:W3CDTF">2026-03-13T11:39:56Z</dcterms:modified>
</cp:coreProperties>
</file>