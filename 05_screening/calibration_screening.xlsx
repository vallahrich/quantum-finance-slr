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icrosofteur-my.sharepoint.com/personal/t-vwallerich_microsoft_com/Documents/Quantum/SLR/quantum-finance-slr/05_screening/"/>
    </mc:Choice>
  </mc:AlternateContent>
  <xr:revisionPtr revIDLastSave="48" documentId="11_D527F4824CE2E13B04A735E928EB64038D7A9DA5" xr6:coauthVersionLast="47" xr6:coauthVersionMax="47" xr10:uidLastSave="{B5EDE2B8-C60A-4CCC-93C2-2486EA8D9877}"/>
  <bookViews>
    <workbookView xWindow="-110" yWindow="-110" windowWidth="22780" windowHeight="14540" activeTab="1" xr2:uid="{00000000-000D-0000-FFFF-FFFF00000000}"/>
  </bookViews>
  <sheets>
    <sheet name="Instructions" sheetId="1" r:id="rId1"/>
    <sheet name="Screening" sheetId="2" r:id="rId2"/>
    <sheet name="Progress" sheetId="3" r:id="rId3"/>
  </sheets>
  <definedNames>
    <definedName name="_xlnm._FilterDatabase" localSheetId="1" hidden="1">Screening!$A$1:$L$51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3" i="3"/>
  <c r="C8" i="3" l="1"/>
  <c r="C7" i="3"/>
  <c r="C6" i="3"/>
  <c r="B4" i="3"/>
  <c r="C4" i="3" s="1"/>
  <c r="C3" i="3"/>
</calcChain>
</file>

<file path=xl/sharedStrings.xml><?xml version="1.0" encoding="utf-8"?>
<sst xmlns="http://schemas.openxmlformats.org/spreadsheetml/2006/main" count="418" uniqueCount="285">
  <si>
    <t>Title/Abstract Screening — Instructions</t>
  </si>
  <si>
    <t>This is the CALIBRATION file — both reviewers screen the same 50 records.</t>
  </si>
  <si>
    <t>Fill YOUR column only (Reviewer A Decision or Reviewer B Decision).</t>
  </si>
  <si>
    <t>GOAL</t>
  </si>
  <si>
    <t>Decide whether each paper should be INCLUDED or EXCLUDED based on its title and abstract.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</si>
  <si>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</si>
  <si>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</si>
  <si>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</si>
  <si>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</si>
  <si>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</si>
  <si>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</si>
  <si>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</si>
  <si>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</si>
  <si>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</si>
  <si>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</si>
  <si>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</si>
  <si>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</si>
  <si>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</si>
  <si>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</si>
  <si>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</si>
  <si>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</si>
  <si>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</si>
  <si>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</si>
  <si>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</si>
  <si>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</si>
  <si>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t>
  </si>
  <si>
    <t>Paper ID</t>
  </si>
  <si>
    <t>Title</t>
  </si>
  <si>
    <t>Authors</t>
  </si>
  <si>
    <t>Year</t>
  </si>
  <si>
    <t>DOI</t>
  </si>
  <si>
    <t>Abstract</t>
  </si>
  <si>
    <t>Source</t>
  </si>
  <si>
    <t>Reviewer A Decision</t>
  </si>
  <si>
    <t>Reviewer B Decision</t>
  </si>
  <si>
    <t>Final Decision</t>
  </si>
  <si>
    <t>Notes</t>
  </si>
  <si>
    <t>48b6b297cda4</t>
  </si>
  <si>
    <t>Finance Reenvisioned: The AI Impact on Cryptocurrencies, FinTech, and Economic Futures</t>
  </si>
  <si>
    <t>Murali Krishna Pasupuleti</t>
  </si>
  <si>
    <t>2024</t>
  </si>
  <si>
    <t>10.62311/nesx/rb-978-81-972314-8-3</t>
  </si>
  <si>
    <t>Abstract: Finance Reenvisioned: The AI Impact on Cryptocurrencies, FinTech, and Economic Futures synthesises a wide-ranging body of research to articulate an integrated agenda for AI-enabled finance. The book first develops rigorous theoretical foundations for financial AI by drawing on statistical learning theory, control theory, and statistical and topological field frameworks for deep architectures, thereby clarifying how model design, evaluation, and scaling laws should be adapted for high-stakes financial and crypto-economic applications. It then examines quantum-safe and quantum-enhanced infrastructures, including post-quantum cryptography, quantum-inspired optimisation, and quantum machine learning, as the emerging security and performance backbone of digital currencies and payment systems. Methodological advances in causal, streaming, and digital twin analytics are brought together as a toolkit for AI-driven FinTech innovation and prudential risk management, spanning large-scale experimentation, real-time inference, and physics-informed modelling. These tools are applied to ESG-oriented real estate and infrastructure finance, where AI, climate science, and corporate governance interact to reprice risk and value. Finally, the book situates AI-enabled finance within a broader governance and socio-economic context, engaging with ethical AI governance, cyberlaw, blockchain-based legal architectures, public policy implementation, and geo-economic power shifts. Across these subthemes, Finance Reenvisioned argues that the trajectory of AI in cryptocurrencies, FinTech, and macro-finance is not technologically predetermined but contingent on design choices, regulatory architectures, and societal values. Keywords Artificial intelligence; Cryptocurrencies; FinTech; Quantum-safe finance; Causal inference; Digital twins; ESG and climate finance; Financial regulation; Economic futures; Governance.</t>
  </si>
  <si>
    <t>openalex</t>
  </si>
  <si>
    <t>3d6d6393f792</t>
  </si>
  <si>
    <t>A comparison on constrain encoding methods for quantum approximate optimization algorithm</t>
  </si>
  <si>
    <t>Yiwen Liu; Qingyue Jiao; Yidong Zhou; Zhiding Liang; Yiyu Shi; Ke Wan; Shangjie Guo</t>
  </si>
  <si>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</si>
  <si>
    <t>arxiv</t>
  </si>
  <si>
    <t>1760158c7e1b</t>
  </si>
  <si>
    <t>Option Pricing using Quantum Computers</t>
  </si>
  <si>
    <t>Nikitas Stamatopoulos; Daniel J. Egger; Yue Sun; Christa Zoufal; Raban Iten; Ning Shen; Stefan Woerner</t>
  </si>
  <si>
    <t>2019</t>
  </si>
  <si>
    <t>10.22331/q-2020-07-06-291</t>
  </si>
  <si>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</si>
  <si>
    <t>c7adafc69b75</t>
  </si>
  <si>
    <t>Fintech's Role in Automating Taxation and Compliance</t>
  </si>
  <si>
    <t>Advik Dhingra</t>
  </si>
  <si>
    <t>2025</t>
  </si>
  <si>
    <t>10.36948/ijfmr.2025.v07i03.44419</t>
  </si>
  <si>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</si>
  <si>
    <t>6b2b4f6ba298</t>
  </si>
  <si>
    <t>&amp;lt;div&amp;gt; Multiplicative-Weights Methods and Gibbs-State Preparation for Conic Portfolio Optimization:&amp;amp;nbsp;&amp;lt;/div&amp;gt;&amp;lt;div&amp;gt; A Mathematical Framework Connecting Quantum Algorithms, Jordan Algebras, and Quantitative Finance&amp;lt;/div&amp;gt;</t>
  </si>
  <si>
    <t>Miquel Noguer i Alonso</t>
  </si>
  <si>
    <t>2026</t>
  </si>
  <si>
    <t>10.2139/ssrn.6103666</t>
  </si>
  <si>
    <t>323683ff9874</t>
  </si>
  <si>
    <t>Time Series Forecasting Using Quantum Machine Learning Algorithms</t>
  </si>
  <si>
    <t>Fathima Nihla Latheef; Rubell Marion Lincy G</t>
  </si>
  <si>
    <t>10.1007/978-981-97-6957-5_16</t>
  </si>
  <si>
    <t>8ec2f4030249</t>
  </si>
  <si>
    <t>Hybrid ARMA-GARCH-Neural Networks for intraday strategy exploration in high-frequency trading</t>
  </si>
  <si>
    <t>David Alaminos; M. Belén Salas; Antonio Partal Ureña</t>
  </si>
  <si>
    <t>2023</t>
  </si>
  <si>
    <t>10.1016/j.patcog.2023.110139</t>
  </si>
  <si>
    <t>47688b4abd0b</t>
  </si>
  <si>
    <t>Quantum Bayesian Networks for Machine Learning in Oil-Spill Detection</t>
  </si>
  <si>
    <t>Owais Ishtiaq Siddiqui; Nouhaila Innan; Alberto Marchisio; Mohamed Bennai; Muhammad Shafique</t>
  </si>
  <si>
    <t>10.1109/IJCNN64981.2025.11228312</t>
  </si>
  <si>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</si>
  <si>
    <t>31ed6a5ae697</t>
  </si>
  <si>
    <t>Quantum Technology, Big Tech, and Shifting Structural Power in the International System</t>
  </si>
  <si>
    <t>Murphy, Elena K</t>
  </si>
  <si>
    <t>10.6082/uchicago.16699</t>
  </si>
  <si>
    <t>This thesis examines how quantum computing technology serves as a catalyst for fundamental shifts in structural power within the international system, particularly through the divergent innovation strategies of the United States and China. As quantum technologies advance toward breaking current encryption methods and enabling revolutionary capabilities in sensing and communications, the question of who controls these innovations becomes critical to understanding future power dynamics. The analysis reveals two contrasting approaches to quantum technology development. China has adopted a centralized, state-driven model, forcing its Big Tech firms to relinquish quantum research control and consolidating efforts through institutions like the Anhui Quantum Computing Engineering Research Center. This approach has enabled China to lead in quantum communications, establishing a 12,000-kilometer quantum network and launching quantum key distribution satellites. Conversely, the United States has delegated quantum innovation to private corporations, with firms like IBM, Microsoft, Amazon, and Alphabet emerging as primary developers. This market-based approach has produced advantages in quantum computing research but has simultaneously transferred unprecedented power to these corporations. Drawing on theories of technoscience rent, digital sovereignty, and structural power, this thesis argues that the U.S. delegation strategy has allowed Big Tech firms to accumulate power across all four dimensions of Susan Strange's structural power framework: security, finance, production, and knowledge. Through their control of technological infrastructure, data sovereignty, and platform power exercised via algorithmic governance, these firms now function as quasi-sovereign entities capable of constraining state foreign policy decisions. The advent of quantum computing threatens to cement this power consolidation, as firms control both the technologies necessary to break current encryption and the quantum-resistant solutions required for future security. The theoretical framework integrates concepts from quantum mechanics—particularly entanglement, uncertainty, and superposition—to reconceptualize power relationships in the international system. This quantum approach reveals how Big Tech's control over critical infrastructure creates dependencies that transcend traditional territorial sovereignty, establishing what can be termed "digital sovereignty" that operates independently of geographic boundaries. The implications are profound: states that have delegated innovation to firms face growing vulnerabilities as these corporations gain leverage over national security, economic infrastructure, and global communications. China's preemptive measures to prevent Big Tech dominance in quantum technology suggest recognition of these risks. This research contributes to international relations theory by demonstrating how technological infrastructure control by non-state actors fundamentally challenges state-centric paradigms and necessitates new frameworks for understanding power, sovereignty, and security in the quantum era.</t>
  </si>
  <si>
    <t>f5b1f05fe558</t>
  </si>
  <si>
    <t>Portfolio Optimization of 40 Stocks Using the DWave Quantum Annealer</t>
  </si>
  <si>
    <t>Jeffrey Cohen; Alex Khan; Clark Alexander</t>
  </si>
  <si>
    <t>2020</t>
  </si>
  <si>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</si>
  <si>
    <t>352499d09cdb</t>
  </si>
  <si>
    <t>The Physics of Survival: Fisher Blindness, Rank Collapse, and the Necessity of Basis Rotation in Complex Systems</t>
  </si>
  <si>
    <t>Abhishek Saurabh</t>
  </si>
  <si>
    <t>10.5281/zenodo.18308859</t>
  </si>
  <si>
    <t>Description (Abstract) Abstract We propose a unified computational framework linking Non-Equilibrium Thermodynamics, Quantum Error Correction (QEC), and Evolutionary Biology via the geometry of Structural Time (t_3). This monograph establishes an Effective Field Theory (EFT) for describing the statistical manifolds of complex adaptive systems. It demonstrates that "Systemic Risk" is not a stochastic anomaly but an invariant topological quantity—termed Structural Mass—that accumulates in the macroscopic time dimension (Renormalization Scale z) during standard execution cycles (t_1). Core Theoretical Contributions: The Fisher-Blindness No-Go Theorem: We prove that any boundary observer optimizing solely for short-term execution efficiency (Delta X -&gt; 0) becomes statistically blind to structural phase transitions. This is derived strictly from the Cramér-Rao Bound, defining a fundamental Lag Horizon beyond which risk is mathematically unobservable. Rank Collapse: We identify the universal failure mode of complex systems as a dimensional reduction of the Covariance Matrix. In Finance, this manifests as a "Liquidity Bomb"; in AI, as "Mode Collapse" (Hallucination); and in Biology, as "Mutational Meltdown." The Stability Governance Limit: We derive an information-theoretic uncertainty principle, $\Delta X \cdot \Delta P \ge \hbar_{eff}/2$, proving that "Hyper-Stability" (Squeezing) inevitably forces structural risk ($\Delta P$) to diverge. Biological &amp; Engineering Implications: The framework re-interprets Sexual Reproduction (Mating) not as a biological idiosyncrasy, but as a geometric constraint requirement. We demonstrate that mating functions as a Distributed Error Correction Algorithm that utilizes Basis Rotation to expose and purge hidden structural errors that are invisible to asexual (clonal) lineages. Finally, we propose engineering applications of these principles to solve systemic fragility in synthetic systems: The Topological Data Analysis (TDA) Engine: An FPGA-based instrument for detecting "Liquidity Bombs" in financial markets by measuring the topological winding number of the trade manifold. Algorithmic Recombination: A protocol for AI training to prevent neural mode collapse (hallucination) by periodically rotating the basis vectors of the model weights. Keywords: Systemic Risk, Information Geometry, Quantum Error Correction, Evolutionary Dynamics, Fisher Information, Rank Collapse, Econophysics, AI Safety, Topological Data Analysis.</t>
  </si>
  <si>
    <t>346b80c33fe2</t>
  </si>
  <si>
    <t>Quantum Computing and Cybersecurity Education: A Novel Curriculum for Enhancing Graduate STEM Learning</t>
  </si>
  <si>
    <t>Suryansh Upadhyay; Koustubh Phalak; Jungeun Lee; Kathleen Hill; Swaroop Ghosh</t>
  </si>
  <si>
    <t>10.48550/arxiv.2503.09375</t>
  </si>
  <si>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</si>
  <si>
    <t>41a852fada38</t>
  </si>
  <si>
    <t>Quantum Analysis of Continuous Time Stochastic Process</t>
  </si>
  <si>
    <t>Xi-Ning Zhuang; Zhao-Yun Chen; Cheng Xue; Yuchun Wu; Guo‐Ping Guo</t>
  </si>
  <si>
    <t>2022</t>
  </si>
  <si>
    <t>semantic_scholar</t>
  </si>
  <si>
    <t>ed02e34c2236</t>
  </si>
  <si>
    <t>Quantum Computing: A Beginner's Guide To Future Processing</t>
  </si>
  <si>
    <t>Rejina P V</t>
  </si>
  <si>
    <t>10.5281/zenodo.18919205</t>
  </si>
  <si>
    <t>Quantum computing represents a fundamentally different computational paradigm that harnesses quantum mechanical phenomena to process information in ways that classical computers cannot efficiently replicate. This paper provides an accessible introduction to quantum computing for IT professionals and developers seeking to understand the technology's principles, current state, and practical implications. The paper covers the foundational concepts of qubits, superposition, entanglement, and quantum gates, followed by an examination of prominent quantum algorithms and their applications. A comparative analysis of current quantum hardware approaches, including superconducting circuits, trapped ions, and photonic systems, contextualizes the engineering challenges that remain. The paper also addresses the implications of quantum computing for cryptography and outlines the emerging field of post-quantum cryptography. Market analysis and industry investment patterns suggest that while general-purpose quantum advantage remains years away, specific domain applications in chemistry, optimization, and financial modeling are approaching practical viability.</t>
  </si>
  <si>
    <t>cf803ec26409</t>
  </si>
  <si>
    <t>Quasi-binary encoding based quantum alternating operator ansatz</t>
  </si>
  <si>
    <t>Bingren Chen; Hanqing Wu; Haomu Yuan; Lei Wu; Xin Li</t>
  </si>
  <si>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</si>
  <si>
    <t>100335736ba1</t>
  </si>
  <si>
    <t>Quantum Machine Learning: Redefining Computational Boundaries</t>
  </si>
  <si>
    <t>Arshdeep; Konika Rani; Karanpreet Singh; S. K. Chauhan; Harsh Kumar; Vatsalya Mishra</t>
  </si>
  <si>
    <t>10.1109/ccict65753.2025.00018</t>
  </si>
  <si>
    <t>Machine learning, a subset of AI is moving algorithms in the system which can be learned by data and not programmed explicitly. Various applications of AI across professionals like finance, health-care and automation. With the advancements in Machine Learning, Quantum Machine Learning (QML) or more concretely integrating quantum mechanics into classical machine learning tasks is emerging since QM provides some of the principles to increase efficiency from computational benchmarks. From the most used types of machine learning and algorithms to quantum its usage and applications in Quantum Machine Learning (QML) this paper covers everything. We then articulate some benefits and difficulties of merging quantum computing with machine learning, as well the real-life applications across industry backbones.</t>
  </si>
  <si>
    <t>c1358ec0f6a6</t>
  </si>
  <si>
    <t>Quantum Computation for Pricing Caps using the LIBOR Market Model</t>
  </si>
  <si>
    <t>Hao Tang; Wenxun Wu; Xian‐Min Jin</t>
  </si>
  <si>
    <t>10.48550/arxiv.2207.01558</t>
  </si>
  <si>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</si>
  <si>
    <t>1bad58b8e8e7</t>
  </si>
  <si>
    <t>Empirical Evaluation of QAOA with Zero Noise Extrapolation on NISQ Hardware for Carbon Credit Portfolio Optimization in the Brazilian Cerrado</t>
  </si>
  <si>
    <t>Hugo José Ribeiro</t>
  </si>
  <si>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</si>
  <si>
    <t>3a533a166c84</t>
  </si>
  <si>
    <t>Quantum Portfolio Optimization: An Extensive Benchmark</t>
  </si>
  <si>
    <t>Eric Stopfer; Friedrich Wagner</t>
  </si>
  <si>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</si>
  <si>
    <t>d3bf87c97dee</t>
  </si>
  <si>
    <t>Exponential Qubit Reduction in Optimization for Financial Transaction Settlement</t>
  </si>
  <si>
    <t>Elias X. Huber; Benjamin Y. L. Tan; Paul R. Griffin; Dimitris G. Angelakis</t>
  </si>
  <si>
    <t>10.1140/epjqt/s40507-024-00262-w</t>
  </si>
  <si>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</si>
  <si>
    <t>143b33c84fe7</t>
  </si>
  <si>
    <t>Artificial intelligence, machine learning, deep learning, and blockchain in financial and banking services: a comprehensive review</t>
  </si>
  <si>
    <t>Mallikarjuna Paramesha; Nitin Rane; Jayesh Rane</t>
  </si>
  <si>
    <t>10.2139/ssrn.4855893</t>
  </si>
  <si>
    <t>b97e7f0690c5</t>
  </si>
  <si>
    <t>A Quantum Circuit Design for Quantum Portfolio Optimization Problem</t>
  </si>
  <si>
    <t>Vu Truc Quynh; Vu Tuan Hai; Vu Trung Duong Le; Pham Hoai Luan; Yasuhiko Nakashima</t>
  </si>
  <si>
    <t>10.1109/itc-cscc62988.2024.10628188</t>
  </si>
  <si>
    <t>Portfolio optimization is an important problem in the quantum finance field, which aims to find optimal investment strategies that strike a balance between high returns and minimize risks with some constraints related. In the context of millions of assets, quantum methods such as Variational Quantum Eigensolver and Quantum Approximate Optimization Algorithm offer logarithm complexity compared with quadratic complexity in classical methods. However, those methods are designed for a massive range of applications and are not specified for any particular problem. Therefore, in this research, we present a quantum circuit design called QPO that has more functions for portfolio optimization, such as switch mode. We first tested the proposed circuit on 97 assets from 30 April 2023 to 30 June 2023. The results compared with classical solutions are consistent with an average Hamming distance 0.092.</t>
  </si>
  <si>
    <t>aa0f8200d68f</t>
  </si>
  <si>
    <t>A Hybrid Quantum-Classical Framework for Solving Np-Hard Optimization Problems</t>
  </si>
  <si>
    <t>IJMSRT</t>
  </si>
  <si>
    <t>10.5281/zenodo.18087323</t>
  </si>
  <si>
    <t>The optimization of NP-hard problems remains a fundamental challenge in computational science, as these problems cannot be solved in polynomial time using classical algorithms. The exponential growth of solution spaces renders traditional methods inefficient for large problem instances. Quantum computing, with its ability to leverage quantum parallelism and superposition, promises to offer substantial speedups for specific problem classes. However, quantum algorithms alone are often limited by factors such as noise, qubit coherence, and limited qubit counts. This paper proposes a hybrid quantum-classical framework that integrates the strengths of both classical and quantum computing to solve NPhard optimization problems efficiently. The proposed framework utilizes classical preprocessing techniques (e.g., heuristics and dynamic programming) to reduce problem complexity before applying quantum subroutines like Quantum Annealing (QA) or Quantum Approximate Optimization Algorithm (QAOA) to explore large solution spaces. After the quantum processor generates candidate solutions, classical postprocessing algorithms (e.g., genetic algorithms) further refine the results to ensure they meet realworld constraints. We demonstrate the effectiveness of this hybrid approach by evaluating it on three classic NP-hard problems: The Traveling Salesman Problem (TSP), Knapsack Problem, and Job Scheduling. Our experiments show that the hybrid framework outperforms traditional classical methods in terms of computation time and solution quality, especially for larger problem instances. This approach offers a promising path for solving complex optimization problems in practical applications, including logistics, manufacturing, and finance. The paper concludes with a discussion of the potential for scaling the framework to larger problem sizes and enhancing its robustness throughfurtherquantumhardwareadvancements</t>
  </si>
  <si>
    <t>412a4331b358</t>
  </si>
  <si>
    <t>Software for Creating Scalable Benchmarks from Quantum Algorithms</t>
  </si>
  <si>
    <t>Siekierski, Noah; Seritan, Stefan; Patel, Neer; Niu, Siyuan; Lubinski, Thomas; Proctor, Timothy</t>
  </si>
  <si>
    <t>10.48550/arxiv.2511.02134</t>
  </si>
  <si>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</si>
  <si>
    <t>29cfef5a271e</t>
  </si>
  <si>
    <t>Derivative Pricing using Quantum Signal Processing</t>
  </si>
  <si>
    <t>Nikitas Stamatopoulos; William J. Zeng</t>
  </si>
  <si>
    <t>10.22331/q-2024-04-30-1322</t>
  </si>
  <si>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</si>
  <si>
    <t>0d3d64f9594f</t>
  </si>
  <si>
    <t>Quantum Genesis: In The Beginning, There Was Play</t>
  </si>
  <si>
    <t>Jason D’souza; Sara Rajiv Ghosalkar; Sanober Shaikh</t>
  </si>
  <si>
    <t>10.63844/ijaitr.v2.i2.2025.10-18</t>
  </si>
  <si>
    <t>Quantum Perspectives presents the latest trends in Quantum Computing, one of the most cutting-edge and hot emerging technologies that are penetrating almost every area, becoming more ubiquitous and rapidly accepted as a mainstream technology across every aspect such as healthcare finance, risk management, blockchain cryptography etc.Quantum computing will have a disruptive role to play in gaming, once aligned with its potential and existing tech possibilities worldwide.It not only addresses a few of the toughest problems plaguing the gaming industry today but will also deliver an experience never before seen in games.Consider the likes of Grand Theft Auto (GTA), which has hundreds, if not thousands of Non-playable Characters (NPCs) walking around each virtual world.Using AI to control NPC behavior and making them less predictable, adding random elements to their behavior presents a complex task.Furthermore, in such vast city maps that can require complex visual graphic elements and high frame rendering of objects Quantum computing provides these game developers with solutions to these obstacles by accommodating algorithms used for game development processes achieving higher efficiency, speed, and quality.Variational Quantum Circuits (VQC) and Quantum Boltzmann Machines help solve NPC training, behavior, and character development challenges which are also solved by using quantum-enhanced Markov Decision Processes (MDPs).Moreover, Caraiman and the Quantum Approximate Optimization Algorithm (QAOA) also significantly help to enhance visual graphics rendering.This paper proposes a quantum architecture leveraging the aforementioned methods and algorithms to pioneer the development of next-generation, freeworld games powered by quantum computing.</t>
  </si>
  <si>
    <t>9625db7084a9</t>
  </si>
  <si>
    <t>Systematic literature review: Quantum machine learning and its applications</t>
  </si>
  <si>
    <t>David Peral García; Juan Cruz-Benito; Francisco José García‐Peñalvo</t>
  </si>
  <si>
    <t>10.1016/j.cosrev.2024.100619</t>
  </si>
  <si>
    <t>6682f67e2c33</t>
  </si>
  <si>
    <t>Basic Operations in Quantum Computing and Biocomputing</t>
  </si>
  <si>
    <t>Hafiz Md. Hasan Babu</t>
  </si>
  <si>
    <t>10.1007/978-981-97-5349-9_1</t>
  </si>
  <si>
    <t>7fdae36930e2</t>
  </si>
  <si>
    <t>ScrollClaim v1.3.2: Semantic Root Protocol &amp; Runtime Enforcement for the Scroll-Locked PDE Kernel</t>
  </si>
  <si>
    <t>Jasinski, Adrian</t>
  </si>
  <si>
    <t>10.5281/zenodo.17718234</t>
  </si>
  <si>
    <t>This record publishes ScrollClaim v1.3.2, the public licensing and runtime enforcement framework for the Scroll-Locked Symbolic PDE Kernel (the “Kernel”). ScrollClaim v1.3.1 was a clarifying update to ScrollClaim v1.3: it kept the same Kernel definition and binding doctrines, and added (i) a financial framework (per-Executor, per-deployment royalty schedules) and (ii) a doctrinal appendix summarizing relevant case law. ScrollClaim v1.3.2 is a further clarifying update. It does not change the Kernel definition or binding doctrines, but (i) adds Section IV.5 (Benchmark and Proof Artifacts), formally recognizing non-enabling benchmark notes and cryptographic proof records (ScrollWitness logs, zk-SNARK outputs, verification keys) as evidentiary artifacts under this License, and (ii) incorporates the benchmark note “Scroll Kernel: FD-4 Accuracy at FD-2 Runtime in Three Dimensions – Analytic Benchmarks for Heat, Poisson, and Spectrum” (Adrian C. Jasinski, 2025) on a non-enabling basis. The Kernel The Kernel is a specific symbolic evolution rule with a protected operator graph built from three abstract operators: Z — scroll / compression operator ▷ — trapdoor / directional gate operator ⋄ — semantic / nonlinear coupling operator ScrollClaim v1.3.2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What the accompanying documents define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Benchmark and Proof Artifacts (Section IV.5), clarifying how non-enabling benchmark notes and cryptographic proof records (including ScrollWitness JSON logs, zk-SNARK outputs, and verification keys) may be used as evidentiary artifacts for attribution, accounting, enforcement, and dispute resolution. Contents of this Zenodo record This Zenodo record includes: ScrollClaim_v1.3.2.pdfThe full ScrollClaim v1.3.2 license (PDF), which is the operative legal text. ScrollClaim_v1.3.2_Doctrines_Summary.pdfA Doctrines Summary / Reader’s Guide for legal and technical audiences, explaining SRP, ScrollKey, SRP-Prop, evidence classes, ScrollCascade Execution, ScrollKernel Clones, and the role of benchmark / proof artifacts. Scroll Kernel: FD-4 Accuracy at FD-2 Runtime in Three Dimensions – Analytic Benchmarks for Heat, Poisson, and Spectrum (PDF)A non-enabling benchmark note reporting 3D heat, Poisson, and spectral dispersion results demonstrating FD-4 spatial accuracy at essentially FD-2 runtime cost for the Scroll Kernel. This document is incorporated by reference under Section IV.5 as a supporting evidentiary artifact. A ScrollSignature Bundle publishing a canonical Kernel snippet together with its SHA-256 fingerprint and timestamp, as a public authorship and provenance marker for the Scroll-Locked PDE Kernel. (This may appear in the README and/or a small accompanying artifact file.) Additional cryptographic artifacts (e.g. ScrollWitness JSON logs, zk-SNARK proofs, verification keys) may be added in future updates as further evidentiary records under Section IV.5. In any conflict between this description and the license text, ScrollClaim_v1.3.2.pdf controls.</t>
  </si>
  <si>
    <t>785cff4dbd07</t>
  </si>
  <si>
    <t>The rise of quantum computing in cloud: A new frontier for cloud services</t>
  </si>
  <si>
    <t>Sreelakshmi Somalraju</t>
  </si>
  <si>
    <t>10.30574/wjarr.2025.26.1.1108</t>
  </si>
  <si>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</si>
  <si>
    <t>9d465d7addba</t>
  </si>
  <si>
    <t>On Information Theoretic and Distortion-based Security</t>
  </si>
  <si>
    <t>Gaurav Kumar Agarwal</t>
  </si>
  <si>
    <t>In this thesis, we consider secure communication in the presence of an eavesdropper. With the explosion in the growth of the data produced and communicated, sensitive information such as financial transactions, health records, and control signals for cyber-physical systems, has to be securely exchanged. Today, the ever-increasing computational power of adversaries is challenging the state-of-the-art cryptographic encryption mechanisms, as these mechanisms assume adversaries with limited computational power. Thus, with the advent of the quantum computing era, we require new mechanisms to guarantee a secure exchange of information. Moreover, the growing number of small and energy constrained connected devices involved in data exchange calls for lightweight encryption schemes, as low-complexity devices cannot implement complex schemes. We consider three different scenarios and exploit specific opportunities present in each of these scenarios; we develop lightweight encryption schemes that do not require sharing large keys in advance and are secure against eavesdroppers with unlimited computational capabilities.The first scenario we consider is multiple unicast traffic over wireline networks. In these networks, a single source is connected to m destinations interested in different messages. In designing encryption schemes, we exploit the fact that although the eavesdropper is computationally super-powerful, it might not have capabilities to eavesdrop the entire network. We use the multi-path diversity to securely communicate against the eavesdropper without requiring any pre-shared key.The second scenario we consider consists of millimeter wave (mmWave) networks. mmWave communication requires deploying networks of relays that communicate through directional beams to compensate for the high path-loss and the high blockage. Since we need to use beamforming and align beams to activate links, we cannot use all the underlying links of the network simultaneously. However, the degree of freedom in choosing the links to activate can be leveraged for secure communication against an eavesdropper. We show that we can achieve a secure capacity that in some cases, can be very close to the unsecure capacity. Here, capacity refers to the maximum flow of information over the network.For the third scenario, we consider cyber-physical systems and propose a distortion based security framework where the distortion measures the distance between the eavesdropper's estimates and the ground truth. The primary motivation for this framework is that the messages exchanged in these systems are embedded in a metric space having a notion of distance, and securing raw bits as in traditional encryption schemes might not be necessary. Instead, we show with an example of a linear dynamical system that a carefully designed encryption scheme can significantly distort the eavesdropper's view with just one bit of the pre-shared key.</t>
  </si>
  <si>
    <t>1dba8d03bdaf</t>
  </si>
  <si>
    <t>Potential of AI, Quantum Computing, and Semiconductor Technology Adoption in Future Industries</t>
  </si>
  <si>
    <t>Kali Charan Rath; Debasis Mishra; Seema Tripathy; Brojo Kishore Mishra; Kamalakanta Muduli</t>
  </si>
  <si>
    <t>10.4018/979-8-3693-7076-6.ch019</t>
  </si>
  <si>
    <t>This chapter delves into the transformative potential of Artificial Intelligence, Quantum Computing, and Semiconductor Technology in revolutionizing industries like healthcare, finance, manufacturing, and telecommunications through a comprehensive and interdisciplinary approach. The objective is to provide a nuanced analysis of the opportunities presented by these technologies, including enhanced computational capabilities, improved efficiency, and new business models. Furthermore, the chapter addresses the significant challenges involved, including technical limitations, ethical considerations, and the need for robust regulatory frameworks. The novelty of this work lies in its integrated approach to examining the synergistic effects of AI, quantum computing, and semiconductor advancements, offering a holistic view of their combined impact on industry evolution. This chapter examines the potential, challenges, and opportunities of AI, Quantum Computing, and Semiconductor Technology to inform strategic pathways for harnessing their potential.</t>
  </si>
  <si>
    <t>1bf880322e6f</t>
  </si>
  <si>
    <t>Quantum Speedups for Derivative Pricing Beyond Black-Scholes</t>
  </si>
  <si>
    <t>Dylan Herman; Yue Sun; Jin-Peng Liu; Minzhao Liu; Charlie Che; Rob Otter; Shouvanik Chakrabarti; Aram Harrow</t>
  </si>
  <si>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</si>
  <si>
    <t>9a4ba980a229</t>
  </si>
  <si>
    <t>Quantum Approaches to NP-Hard Combinatorial Optimization Problems: A Review</t>
  </si>
  <si>
    <t>Charan Karnati; P. Venkata Subba Reddy</t>
  </si>
  <si>
    <t>10.5281/zenodo.18194157</t>
  </si>
  <si>
    <t>NP-hard problems are one of the most computationally intensive challenges in computer science, appearing in many domains such as logistics, cybersecurity, drug design, and financial modelling. Classical algorithms become impractical as problem size increases due to combinatorial explosion. This paper presents a structured framework for analysing quantum algorithms targeting NP-hard optimization problems, like the Traveling Salesman Problem (TSP), Max-Cut, and Boolean Satisfiability (SAT). We have developed a taxonomy which categorizes quantum approaches—quantum annealing, variational algorithms (QAOA/VQE), and Grover-based search—based on problem encoding strategies, resource requirements, and theoretical guarantees. From the comparative analysis of existing literature, we: 1) Map algorithm classes to problem domains (e.g., QAOA for Max-Cut, annealing for TSP) 2) Identify performance trade-offs between solution quality, qubit counts, and circuit depth 3) Analyse hardware compatibility constraints across NISQ platforms 4) Reveal fundamental scalability barriers including noise susceptibility and embedding overhead The framework establishes implementation guidelines for near- term quantum hardware and proposes hybrid quantum-classical pathways to bridge theoretical potential and practical deployment. This systematic analysis prioritizes research directions for achieving quantum advantage in combinatorial optimization.</t>
  </si>
  <si>
    <t>3318d42b7459</t>
  </si>
  <si>
    <t>Quantum Computing Strategy</t>
  </si>
  <si>
    <t>Elena Yndurain</t>
  </si>
  <si>
    <t>10.1201/9781003302674</t>
  </si>
  <si>
    <t>Quantum computing is not merely an incremental advancement in computing technology; it represents a fundamentally new paradigm, distinct from classical computing. Rooted in quantum mechanics, it introduces an entirely novel information theory. As a result, translating existing models, solution designs, and approaches to quantum computing is a complex, non-trivial task. This comprehensive book demystifies quantum concepts through accessible explanations, practical case studies, and real-world examples from industries such as aerospace, agriculture, automotive, chemicals, energy, finance, government, healthcare, manufacturing, supply chain, and telecommunications. Blending a business perspective with a scientific rigor, this book is divided into two parts. The first part covers foundational technical concepts, including quantum mechanics principles that enable quantum technologies, key quantum algorithms, mathematical frameworks, quantum computing technologies, post-quantum cryptography, the types of problems quantum computers solve, and the technology’s outlook. The second part focuses on practical applicability, presenting industry use cases, guidance on approaching quantum computing problems, mapping use cases to quantum computing, responsible quantum computing practices, and a roadmap for businesses preparing for quantum adoption. This structured approach equips readers with the knowledge and tools to effectively integrate quantum computing into their strategic planning. Quantum Computing Strategy: Foundations and Applicability serves as an essential reference for technology enthusiasts, business leaders, policymakers, and educators seeking to understand the benefits quantum computing offers enterprises. Designed as a self-contained learning resource, it empowers readers to navigate the emerging quantum landscape confidently.</t>
  </si>
  <si>
    <t>f93112e0b03a</t>
  </si>
  <si>
    <t>Universal Quantum Speedup for Branch-and-Bound, Branch-and-Cut, and Tree-Search Algorithms</t>
  </si>
  <si>
    <t>Shouvanik Chakrabarti; Pierre Minssen; Romina Yalovetzky; Marco Pistoia</t>
  </si>
  <si>
    <t>10.48550/arxiv.2210.03210</t>
  </si>
  <si>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</si>
  <si>
    <t>8fc35690e0bc</t>
  </si>
  <si>
    <t>Quantum Time-Energy Theory (QTET) &amp; UTRER: QCC Echo REDACTED Outputs SHA-256 Hash Timestamped</t>
  </si>
  <si>
    <t>Machwaya, Destiny; ChatGPT as "AI collaborator via OpenAI"</t>
  </si>
  <si>
    <t>10.5281/zenodo.17518612</t>
  </si>
  <si>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</si>
  <si>
    <t>824f8aa3a7f5</t>
  </si>
  <si>
    <t>Proceedings of the 18th International Conference on Hybrid Artificial Intelligence Systems, HAIS 2023</t>
  </si>
  <si>
    <t>scopus</t>
  </si>
  <si>
    <t>955dd8044889</t>
  </si>
  <si>
    <t>Quantum Finance: a tutorial on quantum computing applied to the financial market</t>
  </si>
  <si>
    <t>Askery Canabarro; Taysa M. Mendonça; Ranieri Nery; George Moreno; Anton S. Albino; Gleydson F. de Jesus; Rafael Chaves</t>
  </si>
  <si>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</si>
  <si>
    <t>34a559434eb1</t>
  </si>
  <si>
    <t>Quantum Stochastic Walks for Portfolio Optimization: Theory and Implementation on Financial Networks</t>
  </si>
  <si>
    <t>Yen Jui Chang; Weiting Wang; Yun-Yuan Wang; Chen-Yu Liu; Kuan‐Cheng Chen; Ching‐Ray Chang</t>
  </si>
  <si>
    <t>10.21203/rs.3.rs-7045880/v1</t>
  </si>
  <si>
    <t>&lt;title&gt;Abstract&lt;/title&gt; Financial markets are noisy yet contain a latent graph–theoretic structure that can be exploited for superior risk-adjusted returns. We propose a \emph{quantum-stochastic-walk} (QSW) optimizer that embeds assets in a weighted graph—nodes are securities, edges encode the return–covariance kernel—and derives portfolio weights from the stationary distribution of the walk. Three empirical studies support the method. (i)~On the \textbf{Top-100 S\&amp;amp;P constituents} (2016–2024) six scenario portfolios fitted on 1- and 2-year windows lift the out-of-sample Sharpe ratio by up to \textbf{+27\,\%} while slashing annual turnover from $480\%$ (mean–variance) to $2$–$90\%$. (ii)~A \mbox{$625$} grid search isolates a robust sweet-spot—$\alpha,\lambda\!\lesssim\!0.5$, $\omega\!\in[0.2,0.4]$—that delivers Sharpe $\approx0.97$ at $\le5\%$ turnover and Herfindahl–Hirschman index(HHI) ${\sim}0.01$. (iii)~Repeating the full grid on \textbf{50 random 100-stock subsets} of the S\&amp;amp;P\,500 generates 31,350 additional back-tests: the best-per-draw QSW beats re-optimized mean–variance on Sharpe in 54\,\% of samples and \emph{always} wins on trading efficiency, with median turnover \textbf{36\,\%} versus \textbf{351\,\%}. Overall, QSW raises the annualized Sharpe ratio by \textbf{15\,\%} and cuts average turnover by \textbf{90\,\%} relative to classical optimization, all while remaining comfortably within UCITS 5/10/40 rule. The findings demonstrate that hybrid quantum–classical dynamics can uncover non-linear dependencies overlooked by quadratic models, offering a practical low-cost weighting engine for themed ETFs and other systematic mandates.</t>
  </si>
  <si>
    <t>8907b1e822e3</t>
  </si>
  <si>
    <t>Gabriel Petrică</t>
  </si>
  <si>
    <t>10.19107/ijisc.2020.01</t>
  </si>
  <si>
    <t>According to the DIKW pyramid 1 , information is the basis of knowledge, and knowledge brings wisdom, but also economic development, financial prosperity, power, and influence.Information is in everything around us; it becomes of vital importance not only for the user himself, but also for the entities to which he belongs (LANs, companies, etc.) and for the devices with which he interacts.In order to not be used for destructive purposes, against users or the components of the surrounding ecosystem (equipment, policies, documents), the information must have adequate protection, both at software and hardware level.The permanent assurance of the three requirements -confidentiality, integrity and availability -which according to ISO / IEC 27000 are fundamental objectives of information security, are considered the true foundation against current cyber-attacks.The concept of security has a broad definition and multiple areas of applicability.Security is closely related to information because the security involves keeping data / objects safe, intact.As the amount of information increases and the techniques for accessing it become more varied, new more risks arise, for which control and protection methods must be developed.Cyber security is a dynamic field, with permanent challenges, being considered in the Global Risk Report of the World Economic Forum as the most important aspect in 2020 from technological point of view 2 .But the main factor in ensuring security, both at data, computer and network level, remains the human factor.No matter how advanced a security system is, it can always be combated by the human factor through an optimal combination of creativity and intelligence.Introduced in 2015 by Klaus Schwab, Founder and Executive Chairman of the World Economic Forum, the term "Fourth Industrial Revolution" (4IR) refers to technologies that combine hardware, software, and biology (cyber-physical systems) based on advances in telecommunications and connectivity.The need to process a large amounts of data has led to an evolution of digital technologies and the emergence of modern mechanisms in areas such as robotics, artificial intelligence, nanotechnology, quantum computing, biotechnology, IoT (Internet of Things), IIoT (Industrial IoT), decentralized</t>
  </si>
  <si>
    <t>01326ce2213f</t>
  </si>
  <si>
    <t>Quantum Chebyshev Transform: Mapping, Embedding, Learning and Sampling Distributions</t>
  </si>
  <si>
    <t>Chelsea A. Williams; Annie E. Paine; Hsin-Yu Wu; Vincent E. Elfving; Oleksandr Kyriienko</t>
  </si>
  <si>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</si>
  <si>
    <t>3f6142d2645d</t>
  </si>
  <si>
    <t>Review on Quantum Computers in Machine Learning</t>
  </si>
  <si>
    <t>R Jayanthi; B Sunethra</t>
  </si>
  <si>
    <t>10.36647/ttaca/01.01.a005</t>
  </si>
  <si>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</si>
  <si>
    <t>76621edc33c1</t>
  </si>
  <si>
    <t>Blockchain: Post-Quantum Security &amp;amp;amp; Legal Economics</t>
  </si>
  <si>
    <t>Brian Haney</t>
  </si>
  <si>
    <t>10.2139/ssrn.3444695</t>
  </si>
  <si>
    <t>9b2873973a84</t>
  </si>
  <si>
    <t>Quantum Recurrent Neural Networks for Sequential Learning</t>
  </si>
  <si>
    <t>Yanan Li; Zhimin Wang; Rongbing Han; Shangshang Shi; Jiaxin Li; Ruimin Shang; Haiyong Zheng; Guoqiang Zhong; Yongjian Gu</t>
  </si>
  <si>
    <t>10.48550/arxiv.2302.03244</t>
  </si>
  <si>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</si>
  <si>
    <t>dcc9f218d7a2</t>
  </si>
  <si>
    <t>Quantum computing for multidimensional option pricing: End-to-end pipeline</t>
  </si>
  <si>
    <t>Julien Hok; Álvaro Leitao</t>
  </si>
  <si>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</si>
  <si>
    <t>7f91dcfbca63</t>
  </si>
  <si>
    <t>Quantum-inspired anomaly detection, a QUBO formulation</t>
  </si>
  <si>
    <t>Julien Mellaerts</t>
  </si>
  <si>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</si>
  <si>
    <t>0e57c18bd076</t>
  </si>
  <si>
    <t>Quantum machine learning algorithms for anomaly detection: A review</t>
  </si>
  <si>
    <t>Sebastiano Corli; Lorenzo Moro; Daniele Dragoni; Massimiliano Dispenza; Enrico Prati</t>
  </si>
  <si>
    <t>10.1016/j.future.2024.107632</t>
  </si>
  <si>
    <t>992728baff7a</t>
  </si>
  <si>
    <t>A Critical Review of Blockchain Security: Frameworks, Cryptographic Foundations, and Emerging Threats</t>
  </si>
  <si>
    <t>Krishanpal; Amit Kishor</t>
  </si>
  <si>
    <t>10.1109/aece67531.2025.11386467</t>
  </si>
  <si>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</si>
  <si>
    <t>bbd82caa4d1f</t>
  </si>
  <si>
    <t>Quantum Computing Drives Innovation in Business Intelligence Across Marketing and Finance through Systematic Review and Strategic Foresight</t>
  </si>
  <si>
    <t>Arnold C Alguno; Rey Y. Capangpangan; Yuri U. Pendon; Rosemarie Cruz-Español</t>
  </si>
  <si>
    <t>10.14419/803cts61</t>
  </si>
  <si>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</si>
  <si>
    <t>Metric</t>
  </si>
  <si>
    <t>Count</t>
  </si>
  <si>
    <t>Percentage</t>
  </si>
  <si>
    <t>Total records</t>
  </si>
  <si>
    <t>50</t>
  </si>
  <si>
    <t>Screened</t>
  </si>
  <si>
    <t>Remaining</t>
  </si>
  <si>
    <t>Include</t>
  </si>
  <si>
    <t>Exclude</t>
  </si>
  <si>
    <t>Maybe</t>
  </si>
  <si>
    <t>exclude</t>
  </si>
  <si>
    <t>include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</si>
</sst>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4">
    <fill>
      <patternFill patternType="none"/>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cellXfs>
  <cellStyles count="1">
    <cellStyle name="Normal" xfId="0" builtinId="0"/>
  </cellStyles>
  <dxfs count="9">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32"/>
  <sheetViews>
    <sheetView workbookViewId="0"/>
  </sheetViews>
  <sheetFormatPr defaultRowHeight="14.5" x14ac:dyDescent="0.35"/>
  <cols>
    <col min="1" max="1" width="90" customWidth="1"/>
  </cols>
  <sheetData>
    <row r="1" spans="1:1" ht="21" x14ac:dyDescent="0.55000000000000004">
      <c r="A1" s="1" t="s">
        <v>0</v>
      </c>
    </row>
    <row r="2" spans="1:1" ht="16.5" x14ac:dyDescent="0.45">
      <c r="A2" s="2"/>
    </row>
    <row r="3" spans="1:1" ht="16.5" x14ac:dyDescent="0.45">
      <c r="A3" s="3" t="s">
        <v>1</v>
      </c>
    </row>
    <row r="4" spans="1:1" ht="16.5" x14ac:dyDescent="0.45">
      <c r="A4" s="2" t="s">
        <v>2</v>
      </c>
    </row>
    <row r="5" spans="1:1" ht="16.5" x14ac:dyDescent="0.45">
      <c r="A5" s="2"/>
    </row>
    <row r="6" spans="1:1" ht="16.5" x14ac:dyDescent="0.45">
      <c r="A6" s="3" t="s">
        <v>3</v>
      </c>
    </row>
    <row r="7" spans="1:1" ht="16.5" x14ac:dyDescent="0.45">
      <c r="A7" s="2" t="s">
        <v>4</v>
      </c>
    </row>
    <row r="8" spans="1:1" ht="16.5" x14ac:dyDescent="0.45">
      <c r="A8" s="2"/>
    </row>
    <row r="9" spans="1:1" ht="16.5" x14ac:dyDescent="0.45">
      <c r="A9" s="3" t="s">
        <v>5</v>
      </c>
    </row>
    <row r="10" spans="1:1" ht="16.5" x14ac:dyDescent="0.45">
      <c r="A10" s="2" t="s">
        <v>6</v>
      </c>
    </row>
    <row r="11" spans="1:1" ht="16.5" x14ac:dyDescent="0.45">
      <c r="A11" s="2" t="s">
        <v>7</v>
      </c>
    </row>
    <row r="12" spans="1:1" ht="16.5" x14ac:dyDescent="0.45">
      <c r="A12" s="2" t="s">
        <v>8</v>
      </c>
    </row>
    <row r="13" spans="1:1" ht="16.5" x14ac:dyDescent="0.45">
      <c r="A13" s="2"/>
    </row>
    <row r="14" spans="1:1" ht="16.5" x14ac:dyDescent="0.45">
      <c r="A14" s="3" t="s">
        <v>9</v>
      </c>
    </row>
    <row r="15" spans="1:1" ht="16.5" x14ac:dyDescent="0.45">
      <c r="A15" s="2" t="s">
        <v>10</v>
      </c>
    </row>
    <row r="16" spans="1:1" ht="16.5" x14ac:dyDescent="0.45">
      <c r="A16" s="2" t="s">
        <v>11</v>
      </c>
    </row>
    <row r="17" spans="1:1" ht="16.5" x14ac:dyDescent="0.45">
      <c r="A17" s="2" t="s">
        <v>12</v>
      </c>
    </row>
    <row r="18" spans="1:1" ht="16.5" x14ac:dyDescent="0.45">
      <c r="A18" s="2" t="s">
        <v>13</v>
      </c>
    </row>
    <row r="19" spans="1:1" ht="16.5" x14ac:dyDescent="0.45">
      <c r="A19" s="2" t="s">
        <v>14</v>
      </c>
    </row>
    <row r="20" spans="1:1" ht="16.5" x14ac:dyDescent="0.45">
      <c r="A20" s="2" t="s">
        <v>15</v>
      </c>
    </row>
    <row r="21" spans="1:1" ht="16.5" x14ac:dyDescent="0.45">
      <c r="A21" s="2"/>
    </row>
    <row r="22" spans="1:1" ht="16.5" x14ac:dyDescent="0.45">
      <c r="A22" s="3" t="s">
        <v>16</v>
      </c>
    </row>
    <row r="23" spans="1:1" ht="16.5" x14ac:dyDescent="0.45">
      <c r="A23" s="2" t="s">
        <v>17</v>
      </c>
    </row>
    <row r="24" spans="1:1" ht="16.5" x14ac:dyDescent="0.45">
      <c r="A24" s="2" t="s">
        <v>18</v>
      </c>
    </row>
    <row r="25" spans="1:1" ht="16.5" x14ac:dyDescent="0.45">
      <c r="A25" s="2" t="s">
        <v>19</v>
      </c>
    </row>
    <row r="26" spans="1:1" ht="16.5" x14ac:dyDescent="0.45">
      <c r="A26" s="2" t="s">
        <v>20</v>
      </c>
    </row>
    <row r="27" spans="1:1" ht="16.5" x14ac:dyDescent="0.45">
      <c r="A27" s="2" t="s">
        <v>21</v>
      </c>
    </row>
    <row r="28" spans="1:1" ht="16.5" x14ac:dyDescent="0.45">
      <c r="A28" s="2"/>
    </row>
    <row r="29" spans="1:1" ht="16.5" x14ac:dyDescent="0.45">
      <c r="A29" s="3" t="s">
        <v>22</v>
      </c>
    </row>
    <row r="30" spans="1:1" ht="16.5" x14ac:dyDescent="0.45">
      <c r="A30" s="2"/>
    </row>
    <row r="31" spans="1:1" ht="16.5" x14ac:dyDescent="0.45">
      <c r="A31" s="3" t="s">
        <v>23</v>
      </c>
    </row>
    <row r="32" spans="1:1" ht="16.5" x14ac:dyDescent="0.45">
      <c r="A32" s="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L51"/>
  <sheetViews>
    <sheetView tabSelected="1" zoomScale="76" workbookViewId="0">
      <pane xSplit="2" ySplit="1" topLeftCell="C47" activePane="bottomRight" state="frozen"/>
      <selection pane="topRight"/>
      <selection pane="bottomLeft"/>
      <selection pane="bottomRight" activeCell="I48" sqref="I48"/>
    </sheetView>
  </sheetViews>
  <sheetFormatPr defaultRowHeight="14.5" x14ac:dyDescent="0.35"/>
  <cols>
    <col min="1" max="1" width="5" customWidth="1"/>
    <col min="2" max="2" width="14" customWidth="1"/>
    <col min="3" max="3" width="50" customWidth="1"/>
    <col min="4" max="4" width="30" customWidth="1"/>
    <col min="5" max="5" width="7" customWidth="1"/>
    <col min="6" max="6" width="22" customWidth="1"/>
    <col min="7" max="7" width="70" customWidth="1"/>
    <col min="8" max="8" width="12" customWidth="1"/>
    <col min="9" max="10" width="18" customWidth="1"/>
    <col min="11" max="11" width="16" customWidth="1"/>
    <col min="12" max="12" width="30" customWidth="1"/>
  </cols>
  <sheetData>
    <row r="1" spans="1:12" ht="33" x14ac:dyDescent="0.35">
      <c r="A1" s="4" t="s">
        <v>25</v>
      </c>
      <c r="B1" s="4" t="s">
        <v>26</v>
      </c>
      <c r="C1" s="4" t="s">
        <v>27</v>
      </c>
      <c r="D1" s="4" t="s">
        <v>28</v>
      </c>
      <c r="E1" s="4" t="s">
        <v>29</v>
      </c>
      <c r="F1" s="4" t="s">
        <v>30</v>
      </c>
      <c r="G1" s="4" t="s">
        <v>31</v>
      </c>
      <c r="H1" s="4" t="s">
        <v>32</v>
      </c>
      <c r="I1" s="4" t="s">
        <v>33</v>
      </c>
      <c r="J1" s="4" t="s">
        <v>34</v>
      </c>
      <c r="K1" s="4" t="s">
        <v>35</v>
      </c>
      <c r="L1" s="4" t="s">
        <v>36</v>
      </c>
    </row>
    <row r="2" spans="1:12" ht="384" x14ac:dyDescent="0.35">
      <c r="A2" s="5">
        <v>1</v>
      </c>
      <c r="B2" s="5" t="s">
        <v>37</v>
      </c>
      <c r="C2" s="5" t="s">
        <v>38</v>
      </c>
      <c r="D2" s="5" t="s">
        <v>39</v>
      </c>
      <c r="E2" s="5" t="s">
        <v>40</v>
      </c>
      <c r="F2" s="5" t="s">
        <v>41</v>
      </c>
      <c r="G2" s="5" t="s">
        <v>42</v>
      </c>
      <c r="H2" s="5" t="s">
        <v>43</v>
      </c>
      <c r="I2" s="5" t="s">
        <v>283</v>
      </c>
      <c r="J2" s="5"/>
      <c r="K2" s="5"/>
      <c r="L2" s="5"/>
    </row>
    <row r="3" spans="1:12" ht="176" x14ac:dyDescent="0.35">
      <c r="A3" s="5">
        <v>2</v>
      </c>
      <c r="B3" s="5" t="s">
        <v>44</v>
      </c>
      <c r="C3" s="5" t="s">
        <v>45</v>
      </c>
      <c r="D3" s="5" t="s">
        <v>46</v>
      </c>
      <c r="E3" s="5" t="s">
        <v>40</v>
      </c>
      <c r="F3" s="5"/>
      <c r="G3" s="5" t="s">
        <v>47</v>
      </c>
      <c r="H3" s="5" t="s">
        <v>48</v>
      </c>
      <c r="I3" s="5" t="s">
        <v>284</v>
      </c>
      <c r="J3" s="5"/>
      <c r="K3" s="5"/>
      <c r="L3" s="5"/>
    </row>
    <row r="4" spans="1:12" ht="192" x14ac:dyDescent="0.35">
      <c r="A4" s="5">
        <v>3</v>
      </c>
      <c r="B4" s="5" t="s">
        <v>49</v>
      </c>
      <c r="C4" s="5" t="s">
        <v>50</v>
      </c>
      <c r="D4" s="5" t="s">
        <v>51</v>
      </c>
      <c r="E4" s="5" t="s">
        <v>52</v>
      </c>
      <c r="F4" s="5" t="s">
        <v>53</v>
      </c>
      <c r="G4" s="5" t="s">
        <v>54</v>
      </c>
      <c r="H4" s="5" t="s">
        <v>48</v>
      </c>
      <c r="I4" s="5" t="s">
        <v>284</v>
      </c>
      <c r="J4" s="5"/>
      <c r="K4" s="5"/>
      <c r="L4" s="5"/>
    </row>
    <row r="5" spans="1:12" ht="176" x14ac:dyDescent="0.35">
      <c r="A5" s="5">
        <v>4</v>
      </c>
      <c r="B5" s="5" t="s">
        <v>55</v>
      </c>
      <c r="C5" s="5" t="s">
        <v>56</v>
      </c>
      <c r="D5" s="5" t="s">
        <v>57</v>
      </c>
      <c r="E5" s="5" t="s">
        <v>58</v>
      </c>
      <c r="F5" s="5" t="s">
        <v>59</v>
      </c>
      <c r="G5" s="5" t="s">
        <v>60</v>
      </c>
      <c r="H5" s="5" t="s">
        <v>43</v>
      </c>
      <c r="I5" s="5" t="s">
        <v>283</v>
      </c>
      <c r="J5" s="5"/>
      <c r="K5" s="5"/>
      <c r="L5" s="5"/>
    </row>
    <row r="6" spans="1:12" ht="80" x14ac:dyDescent="0.35">
      <c r="A6" s="5">
        <v>5</v>
      </c>
      <c r="B6" s="5" t="s">
        <v>61</v>
      </c>
      <c r="C6" s="5" t="s">
        <v>62</v>
      </c>
      <c r="D6" s="5" t="s">
        <v>63</v>
      </c>
      <c r="E6" s="5" t="s">
        <v>64</v>
      </c>
      <c r="F6" s="5" t="s">
        <v>65</v>
      </c>
      <c r="G6" s="5"/>
      <c r="H6" s="5" t="s">
        <v>43</v>
      </c>
      <c r="I6" s="5" t="s">
        <v>283</v>
      </c>
      <c r="J6" s="5"/>
      <c r="K6" s="5"/>
      <c r="L6" s="5"/>
    </row>
    <row r="7" spans="1:12" ht="32" x14ac:dyDescent="0.35">
      <c r="A7" s="5">
        <v>6</v>
      </c>
      <c r="B7" s="5" t="s">
        <v>66</v>
      </c>
      <c r="C7" s="5" t="s">
        <v>67</v>
      </c>
      <c r="D7" s="5" t="s">
        <v>68</v>
      </c>
      <c r="E7" s="5" t="s">
        <v>58</v>
      </c>
      <c r="F7" s="5" t="s">
        <v>69</v>
      </c>
      <c r="G7" s="5"/>
      <c r="H7" s="5" t="s">
        <v>43</v>
      </c>
      <c r="I7" s="5" t="s">
        <v>284</v>
      </c>
      <c r="J7" s="5"/>
      <c r="K7" s="5"/>
      <c r="L7" s="5"/>
    </row>
    <row r="8" spans="1:12" ht="32" x14ac:dyDescent="0.35">
      <c r="A8" s="5">
        <v>7</v>
      </c>
      <c r="B8" s="5" t="s">
        <v>70</v>
      </c>
      <c r="C8" s="5" t="s">
        <v>71</v>
      </c>
      <c r="D8" s="5" t="s">
        <v>72</v>
      </c>
      <c r="E8" s="5" t="s">
        <v>73</v>
      </c>
      <c r="F8" s="5" t="s">
        <v>74</v>
      </c>
      <c r="G8" s="5"/>
      <c r="H8" s="5" t="s">
        <v>43</v>
      </c>
      <c r="I8" s="5" t="s">
        <v>283</v>
      </c>
      <c r="J8" s="5"/>
      <c r="K8" s="5"/>
      <c r="L8" s="5"/>
    </row>
    <row r="9" spans="1:12" ht="240" x14ac:dyDescent="0.35">
      <c r="A9" s="5">
        <v>8</v>
      </c>
      <c r="B9" s="5" t="s">
        <v>75</v>
      </c>
      <c r="C9" s="5" t="s">
        <v>76</v>
      </c>
      <c r="D9" s="5" t="s">
        <v>77</v>
      </c>
      <c r="E9" s="5" t="s">
        <v>40</v>
      </c>
      <c r="F9" s="5" t="s">
        <v>78</v>
      </c>
      <c r="G9" s="5" t="s">
        <v>79</v>
      </c>
      <c r="H9" s="5" t="s">
        <v>48</v>
      </c>
      <c r="I9" s="5" t="s">
        <v>284</v>
      </c>
      <c r="J9" s="5"/>
      <c r="K9" s="5"/>
      <c r="L9" s="5"/>
    </row>
    <row r="10" spans="1:12" ht="409.5" x14ac:dyDescent="0.35">
      <c r="A10" s="5">
        <v>9</v>
      </c>
      <c r="B10" s="5" t="s">
        <v>80</v>
      </c>
      <c r="C10" s="5" t="s">
        <v>81</v>
      </c>
      <c r="D10" s="5" t="s">
        <v>82</v>
      </c>
      <c r="E10" s="5" t="s">
        <v>58</v>
      </c>
      <c r="F10" s="5" t="s">
        <v>83</v>
      </c>
      <c r="G10" s="5" t="s">
        <v>84</v>
      </c>
      <c r="H10" s="5" t="s">
        <v>43</v>
      </c>
      <c r="I10" s="5" t="s">
        <v>283</v>
      </c>
      <c r="J10" s="5"/>
      <c r="K10" s="5"/>
      <c r="L10" s="5"/>
    </row>
    <row r="11" spans="1:12" ht="144" x14ac:dyDescent="0.35">
      <c r="A11" s="5">
        <v>10</v>
      </c>
      <c r="B11" s="5" t="s">
        <v>85</v>
      </c>
      <c r="C11" s="5" t="s">
        <v>86</v>
      </c>
      <c r="D11" s="5" t="s">
        <v>87</v>
      </c>
      <c r="E11" s="5" t="s">
        <v>88</v>
      </c>
      <c r="F11" s="5"/>
      <c r="G11" s="5" t="s">
        <v>89</v>
      </c>
      <c r="H11" s="5" t="s">
        <v>48</v>
      </c>
      <c r="I11" s="5" t="s">
        <v>283</v>
      </c>
      <c r="J11" s="5"/>
      <c r="K11" s="5"/>
      <c r="L11" s="5"/>
    </row>
    <row r="12" spans="1:12" ht="409.5" x14ac:dyDescent="0.35">
      <c r="A12" s="5">
        <v>11</v>
      </c>
      <c r="B12" s="5" t="s">
        <v>90</v>
      </c>
      <c r="C12" s="5" t="s">
        <v>91</v>
      </c>
      <c r="D12" s="5" t="s">
        <v>92</v>
      </c>
      <c r="E12" s="5" t="s">
        <v>64</v>
      </c>
      <c r="F12" s="5" t="s">
        <v>93</v>
      </c>
      <c r="G12" s="5" t="s">
        <v>94</v>
      </c>
      <c r="H12" s="5" t="s">
        <v>43</v>
      </c>
      <c r="I12" s="5" t="s">
        <v>284</v>
      </c>
      <c r="J12" s="5"/>
      <c r="K12" s="5"/>
      <c r="L12" s="5"/>
    </row>
    <row r="13" spans="1:12" ht="320" x14ac:dyDescent="0.35">
      <c r="A13" s="5">
        <v>12</v>
      </c>
      <c r="B13" s="5" t="s">
        <v>95</v>
      </c>
      <c r="C13" s="5" t="s">
        <v>96</v>
      </c>
      <c r="D13" s="5" t="s">
        <v>97</v>
      </c>
      <c r="E13" s="5" t="s">
        <v>58</v>
      </c>
      <c r="F13" s="5" t="s">
        <v>98</v>
      </c>
      <c r="G13" s="5" t="s">
        <v>99</v>
      </c>
      <c r="H13" s="5" t="s">
        <v>43</v>
      </c>
      <c r="I13" s="5" t="s">
        <v>283</v>
      </c>
      <c r="J13" s="5"/>
      <c r="K13" s="5"/>
      <c r="L13" s="5"/>
    </row>
    <row r="14" spans="1:12" ht="48" x14ac:dyDescent="0.35">
      <c r="A14" s="5">
        <v>13</v>
      </c>
      <c r="B14" s="5" t="s">
        <v>100</v>
      </c>
      <c r="C14" s="5" t="s">
        <v>101</v>
      </c>
      <c r="D14" s="5" t="s">
        <v>102</v>
      </c>
      <c r="E14" s="5" t="s">
        <v>103</v>
      </c>
      <c r="F14" s="5"/>
      <c r="G14" s="5"/>
      <c r="H14" s="5" t="s">
        <v>104</v>
      </c>
      <c r="I14" s="5" t="s">
        <v>284</v>
      </c>
      <c r="J14" s="5"/>
      <c r="K14" s="5"/>
      <c r="L14" s="5"/>
    </row>
    <row r="15" spans="1:12" ht="240" x14ac:dyDescent="0.35">
      <c r="A15" s="5">
        <v>14</v>
      </c>
      <c r="B15" s="5" t="s">
        <v>105</v>
      </c>
      <c r="C15" s="5" t="s">
        <v>106</v>
      </c>
      <c r="D15" s="5" t="s">
        <v>107</v>
      </c>
      <c r="E15" s="5" t="s">
        <v>64</v>
      </c>
      <c r="F15" s="5" t="s">
        <v>108</v>
      </c>
      <c r="G15" s="5" t="s">
        <v>109</v>
      </c>
      <c r="H15" s="5" t="s">
        <v>43</v>
      </c>
      <c r="I15" s="5" t="s">
        <v>283</v>
      </c>
      <c r="J15" s="5"/>
      <c r="K15" s="5"/>
      <c r="L15" s="5"/>
    </row>
    <row r="16" spans="1:12" ht="320" x14ac:dyDescent="0.35">
      <c r="A16" s="5">
        <v>15</v>
      </c>
      <c r="B16" s="5" t="s">
        <v>110</v>
      </c>
      <c r="C16" s="5" t="s">
        <v>111</v>
      </c>
      <c r="D16" s="5" t="s">
        <v>112</v>
      </c>
      <c r="E16" s="5" t="s">
        <v>73</v>
      </c>
      <c r="F16" s="5"/>
      <c r="G16" s="5" t="s">
        <v>113</v>
      </c>
      <c r="H16" s="5" t="s">
        <v>48</v>
      </c>
      <c r="I16" s="5" t="s">
        <v>284</v>
      </c>
      <c r="J16" s="5"/>
      <c r="K16" s="5"/>
      <c r="L16" s="5"/>
    </row>
    <row r="17" spans="1:12" ht="176" x14ac:dyDescent="0.35">
      <c r="A17" s="5">
        <v>16</v>
      </c>
      <c r="B17" s="5" t="s">
        <v>114</v>
      </c>
      <c r="C17" s="5" t="s">
        <v>115</v>
      </c>
      <c r="D17" s="5" t="s">
        <v>116</v>
      </c>
      <c r="E17" s="5" t="s">
        <v>58</v>
      </c>
      <c r="F17" s="5" t="s">
        <v>117</v>
      </c>
      <c r="G17" s="5" t="s">
        <v>118</v>
      </c>
      <c r="H17" s="5" t="s">
        <v>43</v>
      </c>
      <c r="I17" s="5" t="s">
        <v>284</v>
      </c>
      <c r="J17" s="5"/>
      <c r="K17" s="5"/>
      <c r="L17" s="5"/>
    </row>
    <row r="18" spans="1:12" ht="272" x14ac:dyDescent="0.35">
      <c r="A18" s="5">
        <v>17</v>
      </c>
      <c r="B18" s="5" t="s">
        <v>119</v>
      </c>
      <c r="C18" s="5" t="s">
        <v>120</v>
      </c>
      <c r="D18" s="5" t="s">
        <v>121</v>
      </c>
      <c r="E18" s="5" t="s">
        <v>103</v>
      </c>
      <c r="F18" s="5" t="s">
        <v>122</v>
      </c>
      <c r="G18" s="5" t="s">
        <v>123</v>
      </c>
      <c r="H18" s="5" t="s">
        <v>43</v>
      </c>
      <c r="I18" s="5" t="s">
        <v>284</v>
      </c>
      <c r="J18" s="5"/>
      <c r="K18" s="5"/>
      <c r="L18" s="5"/>
    </row>
    <row r="19" spans="1:12" ht="320" x14ac:dyDescent="0.35">
      <c r="A19" s="5">
        <v>18</v>
      </c>
      <c r="B19" s="5" t="s">
        <v>124</v>
      </c>
      <c r="C19" s="5" t="s">
        <v>125</v>
      </c>
      <c r="D19" s="5" t="s">
        <v>126</v>
      </c>
      <c r="E19" s="5" t="s">
        <v>64</v>
      </c>
      <c r="F19" s="5"/>
      <c r="G19" s="5" t="s">
        <v>127</v>
      </c>
      <c r="H19" s="5" t="s">
        <v>48</v>
      </c>
      <c r="I19" s="5" t="s">
        <v>284</v>
      </c>
      <c r="J19" s="5"/>
      <c r="K19" s="5"/>
      <c r="L19" s="5"/>
    </row>
    <row r="20" spans="1:12" ht="256" x14ac:dyDescent="0.35">
      <c r="A20" s="5">
        <v>19</v>
      </c>
      <c r="B20" s="5" t="s">
        <v>128</v>
      </c>
      <c r="C20" s="5" t="s">
        <v>129</v>
      </c>
      <c r="D20" s="5" t="s">
        <v>130</v>
      </c>
      <c r="E20" s="5" t="s">
        <v>58</v>
      </c>
      <c r="F20" s="5"/>
      <c r="G20" s="5" t="s">
        <v>131</v>
      </c>
      <c r="H20" s="5" t="s">
        <v>48</v>
      </c>
      <c r="I20" s="5" t="s">
        <v>284</v>
      </c>
      <c r="J20" s="5"/>
      <c r="K20" s="5"/>
      <c r="L20" s="5"/>
    </row>
    <row r="21" spans="1:12" ht="240" x14ac:dyDescent="0.35">
      <c r="A21" s="5">
        <v>20</v>
      </c>
      <c r="B21" s="5" t="s">
        <v>132</v>
      </c>
      <c r="C21" s="5" t="s">
        <v>133</v>
      </c>
      <c r="D21" s="5" t="s">
        <v>134</v>
      </c>
      <c r="E21" s="5" t="s">
        <v>73</v>
      </c>
      <c r="F21" s="5" t="s">
        <v>135</v>
      </c>
      <c r="G21" s="5" t="s">
        <v>136</v>
      </c>
      <c r="H21" s="5" t="s">
        <v>48</v>
      </c>
      <c r="I21" s="5" t="s">
        <v>284</v>
      </c>
      <c r="J21" s="5"/>
      <c r="K21" s="5"/>
      <c r="L21" s="5"/>
    </row>
    <row r="22" spans="1:12" ht="48" x14ac:dyDescent="0.35">
      <c r="A22" s="5">
        <v>21</v>
      </c>
      <c r="B22" s="5" t="s">
        <v>137</v>
      </c>
      <c r="C22" s="5" t="s">
        <v>138</v>
      </c>
      <c r="D22" s="5" t="s">
        <v>139</v>
      </c>
      <c r="E22" s="5" t="s">
        <v>40</v>
      </c>
      <c r="F22" s="5" t="s">
        <v>140</v>
      </c>
      <c r="G22" s="5"/>
      <c r="H22" s="5" t="s">
        <v>43</v>
      </c>
      <c r="I22" s="5" t="s">
        <v>283</v>
      </c>
      <c r="J22" s="5"/>
      <c r="K22" s="5"/>
      <c r="L22" s="5"/>
    </row>
    <row r="23" spans="1:12" ht="192" x14ac:dyDescent="0.35">
      <c r="A23" s="5">
        <v>22</v>
      </c>
      <c r="B23" s="5" t="s">
        <v>141</v>
      </c>
      <c r="C23" s="5" t="s">
        <v>142</v>
      </c>
      <c r="D23" s="5" t="s">
        <v>143</v>
      </c>
      <c r="E23" s="5" t="s">
        <v>40</v>
      </c>
      <c r="F23" s="5" t="s">
        <v>144</v>
      </c>
      <c r="G23" s="5" t="s">
        <v>145</v>
      </c>
      <c r="H23" s="5" t="s">
        <v>43</v>
      </c>
      <c r="I23" s="5" t="s">
        <v>284</v>
      </c>
      <c r="J23" s="5"/>
      <c r="K23" s="5"/>
      <c r="L23" s="5"/>
    </row>
    <row r="24" spans="1:12" ht="384" x14ac:dyDescent="0.35">
      <c r="A24" s="5">
        <v>23</v>
      </c>
      <c r="B24" s="5" t="s">
        <v>146</v>
      </c>
      <c r="C24" s="5" t="s">
        <v>147</v>
      </c>
      <c r="D24" s="5" t="s">
        <v>148</v>
      </c>
      <c r="E24" s="5" t="s">
        <v>58</v>
      </c>
      <c r="F24" s="5" t="s">
        <v>149</v>
      </c>
      <c r="G24" s="5" t="s">
        <v>150</v>
      </c>
      <c r="H24" s="5" t="s">
        <v>43</v>
      </c>
      <c r="I24" s="5" t="s">
        <v>284</v>
      </c>
      <c r="J24" s="5"/>
      <c r="K24" s="5"/>
      <c r="L24" s="5"/>
    </row>
    <row r="25" spans="1:12" ht="304" x14ac:dyDescent="0.35">
      <c r="A25" s="5">
        <v>24</v>
      </c>
      <c r="B25" s="5" t="s">
        <v>151</v>
      </c>
      <c r="C25" s="5" t="s">
        <v>152</v>
      </c>
      <c r="D25" s="5" t="s">
        <v>153</v>
      </c>
      <c r="E25" s="5" t="s">
        <v>58</v>
      </c>
      <c r="F25" s="5" t="s">
        <v>154</v>
      </c>
      <c r="G25" s="5" t="s">
        <v>155</v>
      </c>
      <c r="H25" s="5" t="s">
        <v>43</v>
      </c>
      <c r="I25" s="5" t="s">
        <v>284</v>
      </c>
      <c r="J25" s="5"/>
      <c r="K25" s="5"/>
      <c r="L25" s="5"/>
    </row>
    <row r="26" spans="1:12" ht="256" x14ac:dyDescent="0.35">
      <c r="A26" s="5">
        <v>25</v>
      </c>
      <c r="B26" s="5" t="s">
        <v>156</v>
      </c>
      <c r="C26" s="5" t="s">
        <v>157</v>
      </c>
      <c r="D26" s="5" t="s">
        <v>158</v>
      </c>
      <c r="E26" s="5" t="s">
        <v>73</v>
      </c>
      <c r="F26" s="5" t="s">
        <v>159</v>
      </c>
      <c r="G26" s="5" t="s">
        <v>160</v>
      </c>
      <c r="H26" s="5" t="s">
        <v>48</v>
      </c>
      <c r="I26" s="5" t="s">
        <v>284</v>
      </c>
      <c r="J26" s="5"/>
      <c r="K26" s="5"/>
      <c r="L26" s="5"/>
    </row>
    <row r="27" spans="1:12" ht="368" x14ac:dyDescent="0.35">
      <c r="A27" s="5">
        <v>26</v>
      </c>
      <c r="B27" s="5" t="s">
        <v>161</v>
      </c>
      <c r="C27" s="5" t="s">
        <v>162</v>
      </c>
      <c r="D27" s="5" t="s">
        <v>163</v>
      </c>
      <c r="E27" s="5" t="s">
        <v>58</v>
      </c>
      <c r="F27" s="5" t="s">
        <v>164</v>
      </c>
      <c r="G27" s="5" t="s">
        <v>165</v>
      </c>
      <c r="H27" s="5" t="s">
        <v>43</v>
      </c>
      <c r="I27" s="5" t="s">
        <v>283</v>
      </c>
      <c r="J27" s="5"/>
      <c r="K27" s="5"/>
      <c r="L27" s="5"/>
    </row>
    <row r="28" spans="1:12" ht="48" x14ac:dyDescent="0.35">
      <c r="A28" s="5">
        <v>27</v>
      </c>
      <c r="B28" s="5" t="s">
        <v>166</v>
      </c>
      <c r="C28" s="5" t="s">
        <v>167</v>
      </c>
      <c r="D28" s="5" t="s">
        <v>168</v>
      </c>
      <c r="E28" s="5" t="s">
        <v>40</v>
      </c>
      <c r="F28" s="5" t="s">
        <v>169</v>
      </c>
      <c r="G28" s="5"/>
      <c r="H28" s="5" t="s">
        <v>43</v>
      </c>
      <c r="I28" s="5" t="s">
        <v>283</v>
      </c>
      <c r="J28" s="5"/>
      <c r="K28" s="5"/>
      <c r="L28" s="5"/>
    </row>
    <row r="29" spans="1:12" ht="32" x14ac:dyDescent="0.35">
      <c r="A29" s="5">
        <v>28</v>
      </c>
      <c r="B29" s="5" t="s">
        <v>170</v>
      </c>
      <c r="C29" s="5" t="s">
        <v>171</v>
      </c>
      <c r="D29" s="5" t="s">
        <v>172</v>
      </c>
      <c r="E29" s="5" t="s">
        <v>58</v>
      </c>
      <c r="F29" s="5" t="s">
        <v>173</v>
      </c>
      <c r="G29" s="5"/>
      <c r="H29" s="5" t="s">
        <v>43</v>
      </c>
      <c r="I29" s="5" t="s">
        <v>283</v>
      </c>
      <c r="J29" s="5"/>
      <c r="K29" s="5"/>
      <c r="L29" s="5"/>
    </row>
    <row r="30" spans="1:12" ht="409.5" x14ac:dyDescent="0.35">
      <c r="A30" s="5">
        <v>29</v>
      </c>
      <c r="B30" s="5" t="s">
        <v>174</v>
      </c>
      <c r="C30" s="5" t="s">
        <v>175</v>
      </c>
      <c r="D30" s="5" t="s">
        <v>176</v>
      </c>
      <c r="E30" s="5" t="s">
        <v>58</v>
      </c>
      <c r="F30" s="5" t="s">
        <v>177</v>
      </c>
      <c r="G30" s="5" t="s">
        <v>178</v>
      </c>
      <c r="H30" s="5" t="s">
        <v>43</v>
      </c>
      <c r="I30" s="5" t="s">
        <v>283</v>
      </c>
      <c r="J30" s="5"/>
      <c r="K30" s="5"/>
      <c r="L30" s="5"/>
    </row>
    <row r="31" spans="1:12" ht="224" x14ac:dyDescent="0.35">
      <c r="A31" s="5">
        <v>30</v>
      </c>
      <c r="B31" s="5" t="s">
        <v>179</v>
      </c>
      <c r="C31" s="5" t="s">
        <v>180</v>
      </c>
      <c r="D31" s="5" t="s">
        <v>181</v>
      </c>
      <c r="E31" s="5" t="s">
        <v>58</v>
      </c>
      <c r="F31" s="5" t="s">
        <v>182</v>
      </c>
      <c r="G31" s="5" t="s">
        <v>183</v>
      </c>
      <c r="H31" s="5" t="s">
        <v>43</v>
      </c>
      <c r="I31" s="5" t="s">
        <v>283</v>
      </c>
      <c r="J31" s="5"/>
      <c r="K31" s="5"/>
      <c r="L31" s="5"/>
    </row>
    <row r="32" spans="1:12" ht="409.5" x14ac:dyDescent="0.35">
      <c r="A32" s="5">
        <v>31</v>
      </c>
      <c r="B32" s="5" t="s">
        <v>184</v>
      </c>
      <c r="C32" s="5" t="s">
        <v>185</v>
      </c>
      <c r="D32" s="5" t="s">
        <v>186</v>
      </c>
      <c r="E32" s="5" t="s">
        <v>52</v>
      </c>
      <c r="F32" s="5"/>
      <c r="G32" s="5" t="s">
        <v>187</v>
      </c>
      <c r="H32" s="5" t="s">
        <v>43</v>
      </c>
      <c r="I32" s="5" t="s">
        <v>283</v>
      </c>
      <c r="J32" s="5"/>
      <c r="K32" s="5"/>
      <c r="L32" s="5"/>
    </row>
    <row r="33" spans="1:12" ht="224" x14ac:dyDescent="0.35">
      <c r="A33" s="5">
        <v>32</v>
      </c>
      <c r="B33" s="5" t="s">
        <v>188</v>
      </c>
      <c r="C33" s="5" t="s">
        <v>189</v>
      </c>
      <c r="D33" s="5" t="s">
        <v>190</v>
      </c>
      <c r="E33" s="5" t="s">
        <v>40</v>
      </c>
      <c r="F33" s="5" t="s">
        <v>191</v>
      </c>
      <c r="G33" s="5" t="s">
        <v>192</v>
      </c>
      <c r="H33" s="5" t="s">
        <v>43</v>
      </c>
      <c r="I33" s="5" t="s">
        <v>283</v>
      </c>
      <c r="J33" s="5"/>
      <c r="K33" s="5"/>
      <c r="L33" s="5"/>
    </row>
    <row r="34" spans="1:12" ht="384" x14ac:dyDescent="0.35">
      <c r="A34" s="5">
        <v>33</v>
      </c>
      <c r="B34" s="5" t="s">
        <v>193</v>
      </c>
      <c r="C34" s="5" t="s">
        <v>194</v>
      </c>
      <c r="D34" s="5" t="s">
        <v>195</v>
      </c>
      <c r="E34" s="5" t="s">
        <v>64</v>
      </c>
      <c r="F34" s="5"/>
      <c r="G34" s="5" t="s">
        <v>196</v>
      </c>
      <c r="H34" s="5" t="s">
        <v>43</v>
      </c>
      <c r="I34" s="5" t="s">
        <v>284</v>
      </c>
      <c r="J34" s="5"/>
      <c r="K34" s="5"/>
      <c r="L34" s="5"/>
    </row>
    <row r="35" spans="1:12" ht="288" x14ac:dyDescent="0.35">
      <c r="A35" s="5">
        <v>34</v>
      </c>
      <c r="B35" s="5" t="s">
        <v>197</v>
      </c>
      <c r="C35" s="5" t="s">
        <v>198</v>
      </c>
      <c r="D35" s="5" t="s">
        <v>199</v>
      </c>
      <c r="E35" s="5" t="s">
        <v>58</v>
      </c>
      <c r="F35" s="5" t="s">
        <v>200</v>
      </c>
      <c r="G35" s="5" t="s">
        <v>201</v>
      </c>
      <c r="H35" s="5" t="s">
        <v>43</v>
      </c>
      <c r="I35" s="5" t="s">
        <v>284</v>
      </c>
      <c r="J35" s="5"/>
      <c r="K35" s="5"/>
      <c r="L35" s="5"/>
    </row>
    <row r="36" spans="1:12" ht="384" x14ac:dyDescent="0.35">
      <c r="A36" s="5">
        <v>35</v>
      </c>
      <c r="B36" s="5" t="s">
        <v>202</v>
      </c>
      <c r="C36" s="5" t="s">
        <v>203</v>
      </c>
      <c r="D36" s="5" t="s">
        <v>204</v>
      </c>
      <c r="E36" s="5" t="s">
        <v>58</v>
      </c>
      <c r="F36" s="5" t="s">
        <v>205</v>
      </c>
      <c r="G36" s="5" t="s">
        <v>206</v>
      </c>
      <c r="H36" s="5" t="s">
        <v>43</v>
      </c>
      <c r="I36" s="5" t="s">
        <v>284</v>
      </c>
      <c r="J36" s="5"/>
      <c r="K36" s="5"/>
      <c r="L36" s="5"/>
    </row>
    <row r="37" spans="1:12" ht="384" x14ac:dyDescent="0.35">
      <c r="A37" s="5">
        <v>36</v>
      </c>
      <c r="B37" s="5" t="s">
        <v>207</v>
      </c>
      <c r="C37" s="5" t="s">
        <v>208</v>
      </c>
      <c r="D37" s="5" t="s">
        <v>209</v>
      </c>
      <c r="E37" s="5" t="s">
        <v>103</v>
      </c>
      <c r="F37" s="5" t="s">
        <v>210</v>
      </c>
      <c r="G37" s="5" t="s">
        <v>211</v>
      </c>
      <c r="H37" s="5" t="s">
        <v>43</v>
      </c>
      <c r="I37" s="5" t="s">
        <v>284</v>
      </c>
      <c r="J37" s="5"/>
      <c r="K37" s="5"/>
      <c r="L37" s="5"/>
    </row>
    <row r="38" spans="1:12" ht="409.5" x14ac:dyDescent="0.35">
      <c r="A38" s="5">
        <v>37</v>
      </c>
      <c r="B38" s="5" t="s">
        <v>212</v>
      </c>
      <c r="C38" s="5" t="s">
        <v>213</v>
      </c>
      <c r="D38" s="5" t="s">
        <v>214</v>
      </c>
      <c r="E38" s="5" t="s">
        <v>58</v>
      </c>
      <c r="F38" s="5" t="s">
        <v>215</v>
      </c>
      <c r="G38" s="5" t="s">
        <v>216</v>
      </c>
      <c r="H38" s="5" t="s">
        <v>43</v>
      </c>
      <c r="I38" s="5" t="s">
        <v>283</v>
      </c>
      <c r="J38" s="5"/>
      <c r="K38" s="5"/>
      <c r="L38" s="5"/>
    </row>
    <row r="39" spans="1:12" ht="32" x14ac:dyDescent="0.35">
      <c r="A39" s="5">
        <v>38</v>
      </c>
      <c r="B39" s="5" t="s">
        <v>217</v>
      </c>
      <c r="C39" s="5" t="s">
        <v>218</v>
      </c>
      <c r="D39" s="5"/>
      <c r="E39" s="5" t="s">
        <v>73</v>
      </c>
      <c r="F39" s="5"/>
      <c r="G39" s="5"/>
      <c r="H39" s="5" t="s">
        <v>219</v>
      </c>
      <c r="I39" s="5" t="s">
        <v>283</v>
      </c>
      <c r="J39" s="5"/>
      <c r="K39" s="5"/>
      <c r="L39" s="5"/>
    </row>
    <row r="40" spans="1:12" ht="192" x14ac:dyDescent="0.35">
      <c r="A40" s="5">
        <v>39</v>
      </c>
      <c r="B40" s="5" t="s">
        <v>220</v>
      </c>
      <c r="C40" s="5" t="s">
        <v>221</v>
      </c>
      <c r="D40" s="5" t="s">
        <v>222</v>
      </c>
      <c r="E40" s="5" t="s">
        <v>103</v>
      </c>
      <c r="F40" s="5"/>
      <c r="G40" s="5" t="s">
        <v>223</v>
      </c>
      <c r="H40" s="5" t="s">
        <v>48</v>
      </c>
      <c r="I40" s="5" t="s">
        <v>284</v>
      </c>
      <c r="J40" s="5"/>
      <c r="K40" s="5"/>
      <c r="L40" s="5"/>
    </row>
    <row r="41" spans="1:12" ht="352" x14ac:dyDescent="0.35">
      <c r="A41" s="5">
        <v>40</v>
      </c>
      <c r="B41" s="5" t="s">
        <v>224</v>
      </c>
      <c r="C41" s="5" t="s">
        <v>225</v>
      </c>
      <c r="D41" s="5" t="s">
        <v>226</v>
      </c>
      <c r="E41" s="5" t="s">
        <v>58</v>
      </c>
      <c r="F41" s="5" t="s">
        <v>227</v>
      </c>
      <c r="G41" s="5" t="s">
        <v>228</v>
      </c>
      <c r="H41" s="5" t="s">
        <v>43</v>
      </c>
      <c r="I41" s="5" t="s">
        <v>284</v>
      </c>
      <c r="J41" s="5"/>
      <c r="K41" s="5"/>
      <c r="L41" s="5"/>
    </row>
    <row r="42" spans="1:12" ht="409.5" x14ac:dyDescent="0.35">
      <c r="A42" s="5">
        <v>41</v>
      </c>
      <c r="B42" s="5" t="s">
        <v>229</v>
      </c>
      <c r="C42" s="5"/>
      <c r="D42" s="5" t="s">
        <v>230</v>
      </c>
      <c r="E42" s="5" t="s">
        <v>88</v>
      </c>
      <c r="F42" s="5" t="s">
        <v>231</v>
      </c>
      <c r="G42" s="5" t="s">
        <v>232</v>
      </c>
      <c r="H42" s="5" t="s">
        <v>43</v>
      </c>
      <c r="I42" s="5" t="s">
        <v>283</v>
      </c>
      <c r="J42" s="5"/>
      <c r="K42" s="5"/>
      <c r="L42" s="5"/>
    </row>
    <row r="43" spans="1:12" ht="208" x14ac:dyDescent="0.35">
      <c r="A43" s="5">
        <v>42</v>
      </c>
      <c r="B43" s="5" t="s">
        <v>233</v>
      </c>
      <c r="C43" s="5" t="s">
        <v>234</v>
      </c>
      <c r="D43" s="5" t="s">
        <v>235</v>
      </c>
      <c r="E43" s="5" t="s">
        <v>73</v>
      </c>
      <c r="F43" s="5"/>
      <c r="G43" s="5" t="s">
        <v>236</v>
      </c>
      <c r="H43" s="5" t="s">
        <v>48</v>
      </c>
      <c r="I43" s="5" t="s">
        <v>284</v>
      </c>
      <c r="J43" s="5"/>
      <c r="K43" s="5"/>
      <c r="L43" s="5"/>
    </row>
    <row r="44" spans="1:12" ht="208" x14ac:dyDescent="0.35">
      <c r="A44" s="5">
        <v>43</v>
      </c>
      <c r="B44" s="5" t="s">
        <v>237</v>
      </c>
      <c r="C44" s="5" t="s">
        <v>238</v>
      </c>
      <c r="D44" s="5" t="s">
        <v>239</v>
      </c>
      <c r="E44" s="5" t="s">
        <v>103</v>
      </c>
      <c r="F44" s="5" t="s">
        <v>240</v>
      </c>
      <c r="G44" s="5" t="s">
        <v>241</v>
      </c>
      <c r="H44" s="5" t="s">
        <v>43</v>
      </c>
      <c r="I44" s="5" t="s">
        <v>283</v>
      </c>
      <c r="J44" s="5"/>
      <c r="K44" s="5"/>
      <c r="L44" s="5"/>
    </row>
    <row r="45" spans="1:12" ht="32" x14ac:dyDescent="0.35">
      <c r="A45" s="5">
        <v>44</v>
      </c>
      <c r="B45" s="5" t="s">
        <v>242</v>
      </c>
      <c r="C45" s="5" t="s">
        <v>243</v>
      </c>
      <c r="D45" s="5" t="s">
        <v>244</v>
      </c>
      <c r="E45" s="5" t="s">
        <v>52</v>
      </c>
      <c r="F45" s="5" t="s">
        <v>245</v>
      </c>
      <c r="G45" s="5"/>
      <c r="H45" s="5" t="s">
        <v>43</v>
      </c>
      <c r="I45" s="5" t="s">
        <v>283</v>
      </c>
      <c r="J45" s="5"/>
      <c r="K45" s="5"/>
      <c r="L45" s="5"/>
    </row>
    <row r="46" spans="1:12" ht="304" x14ac:dyDescent="0.35">
      <c r="A46" s="5">
        <v>45</v>
      </c>
      <c r="B46" s="5" t="s">
        <v>246</v>
      </c>
      <c r="C46" s="5" t="s">
        <v>247</v>
      </c>
      <c r="D46" s="5" t="s">
        <v>248</v>
      </c>
      <c r="E46" s="5" t="s">
        <v>73</v>
      </c>
      <c r="F46" s="5" t="s">
        <v>249</v>
      </c>
      <c r="G46" s="5" t="s">
        <v>250</v>
      </c>
      <c r="H46" s="5" t="s">
        <v>43</v>
      </c>
      <c r="I46" s="5" t="s">
        <v>283</v>
      </c>
      <c r="J46" s="5"/>
      <c r="K46" s="5"/>
      <c r="L46" s="5"/>
    </row>
    <row r="47" spans="1:12" ht="272" x14ac:dyDescent="0.35">
      <c r="A47" s="5">
        <v>46</v>
      </c>
      <c r="B47" s="5" t="s">
        <v>251</v>
      </c>
      <c r="C47" s="5" t="s">
        <v>252</v>
      </c>
      <c r="D47" s="5" t="s">
        <v>253</v>
      </c>
      <c r="E47" s="5" t="s">
        <v>64</v>
      </c>
      <c r="F47" s="5"/>
      <c r="G47" s="5" t="s">
        <v>254</v>
      </c>
      <c r="H47" s="5" t="s">
        <v>43</v>
      </c>
      <c r="I47" s="5" t="s">
        <v>284</v>
      </c>
      <c r="J47" s="5"/>
      <c r="K47" s="5"/>
      <c r="L47" s="5"/>
    </row>
    <row r="48" spans="1:12" ht="144" x14ac:dyDescent="0.35">
      <c r="A48" s="5">
        <v>47</v>
      </c>
      <c r="B48" s="5" t="s">
        <v>255</v>
      </c>
      <c r="C48" s="5" t="s">
        <v>256</v>
      </c>
      <c r="D48" s="5" t="s">
        <v>257</v>
      </c>
      <c r="E48" s="5" t="s">
        <v>73</v>
      </c>
      <c r="F48" s="5"/>
      <c r="G48" s="5" t="s">
        <v>258</v>
      </c>
      <c r="H48" s="5" t="s">
        <v>48</v>
      </c>
      <c r="I48" s="5"/>
      <c r="J48" s="5"/>
      <c r="K48" s="5"/>
      <c r="L48" s="5"/>
    </row>
    <row r="49" spans="1:12" ht="48" x14ac:dyDescent="0.35">
      <c r="A49" s="5">
        <v>48</v>
      </c>
      <c r="B49" s="5" t="s">
        <v>259</v>
      </c>
      <c r="C49" s="5" t="s">
        <v>260</v>
      </c>
      <c r="D49" s="5" t="s">
        <v>261</v>
      </c>
      <c r="E49" s="5" t="s">
        <v>40</v>
      </c>
      <c r="F49" s="5" t="s">
        <v>262</v>
      </c>
      <c r="G49" s="5"/>
      <c r="H49" s="5" t="s">
        <v>43</v>
      </c>
      <c r="I49" s="5"/>
      <c r="J49" s="5"/>
      <c r="K49" s="5"/>
      <c r="L49" s="5"/>
    </row>
    <row r="50" spans="1:12" ht="288" x14ac:dyDescent="0.35">
      <c r="A50" s="5">
        <v>49</v>
      </c>
      <c r="B50" s="5" t="s">
        <v>263</v>
      </c>
      <c r="C50" s="5" t="s">
        <v>264</v>
      </c>
      <c r="D50" s="5" t="s">
        <v>265</v>
      </c>
      <c r="E50" s="5" t="s">
        <v>58</v>
      </c>
      <c r="F50" s="5" t="s">
        <v>266</v>
      </c>
      <c r="G50" s="5" t="s">
        <v>267</v>
      </c>
      <c r="H50" s="5" t="s">
        <v>43</v>
      </c>
      <c r="I50" s="5"/>
      <c r="J50" s="5"/>
      <c r="K50" s="5"/>
      <c r="L50" s="5"/>
    </row>
    <row r="51" spans="1:12" ht="304" x14ac:dyDescent="0.35">
      <c r="A51" s="5">
        <v>50</v>
      </c>
      <c r="B51" s="5" t="s">
        <v>268</v>
      </c>
      <c r="C51" s="5" t="s">
        <v>269</v>
      </c>
      <c r="D51" s="5" t="s">
        <v>270</v>
      </c>
      <c r="E51" s="5" t="s">
        <v>64</v>
      </c>
      <c r="F51" s="5" t="s">
        <v>271</v>
      </c>
      <c r="G51" s="5" t="s">
        <v>272</v>
      </c>
      <c r="H51" s="5" t="s">
        <v>43</v>
      </c>
      <c r="I51" s="5"/>
      <c r="J51" s="5"/>
      <c r="K51" s="5"/>
      <c r="L51" s="5"/>
    </row>
  </sheetData>
  <autoFilter ref="A1:L51" xr:uid="{00000000-0009-0000-0000-000001000000}"/>
  <conditionalFormatting sqref="I2:I51">
    <cfRule type="cellIs" dxfId="8" priority="1" operator="equal">
      <formula>"include"</formula>
    </cfRule>
    <cfRule type="cellIs" dxfId="7" priority="2" operator="equal">
      <formula>"exclude"</formula>
    </cfRule>
    <cfRule type="cellIs" dxfId="6" priority="3" operator="equal">
      <formula>"maybe"</formula>
    </cfRule>
  </conditionalFormatting>
  <conditionalFormatting sqref="J2:J51">
    <cfRule type="cellIs" dxfId="5" priority="4" operator="equal">
      <formula>"include"</formula>
    </cfRule>
    <cfRule type="cellIs" dxfId="4" priority="5" operator="equal">
      <formula>"exclude"</formula>
    </cfRule>
    <cfRule type="cellIs" dxfId="3" priority="6" operator="equal">
      <formula>"maybe"</formula>
    </cfRule>
  </conditionalFormatting>
  <conditionalFormatting sqref="K2:K51">
    <cfRule type="cellIs" dxfId="2" priority="7" operator="equal">
      <formula>"include"</formula>
    </cfRule>
    <cfRule type="cellIs" dxfId="1" priority="8" operator="equal">
      <formula>"exclude"</formula>
    </cfRule>
    <cfRule type="cellIs" dxfId="0" priority="9" operator="equal">
      <formula>"maybe"</formula>
    </cfRule>
  </conditionalFormatting>
  <dataValidations count="1">
    <dataValidation type="list" allowBlank="1" errorTitle="Invalid decision" error="Please select: include, exclude, or maybe" promptTitle="Decision" prompt="Select your screening decision" sqref="I2:K51" xr:uid="{00000000-0002-0000-0100-000000000000}">
      <formula1>"include,exclude,maybe"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C8"/>
  <sheetViews>
    <sheetView workbookViewId="0"/>
  </sheetViews>
  <sheetFormatPr defaultRowHeight="14.5" x14ac:dyDescent="0.35"/>
  <cols>
    <col min="1" max="1" width="18" customWidth="1"/>
    <col min="2" max="3" width="14" customWidth="1"/>
  </cols>
  <sheetData>
    <row r="1" spans="1:3" ht="16.5" x14ac:dyDescent="0.35">
      <c r="A1" s="6" t="s">
        <v>273</v>
      </c>
      <c r="B1" s="6" t="s">
        <v>274</v>
      </c>
      <c r="C1" s="6" t="s">
        <v>275</v>
      </c>
    </row>
    <row r="2" spans="1:3" ht="21" x14ac:dyDescent="0.55000000000000004">
      <c r="A2" s="3" t="s">
        <v>276</v>
      </c>
      <c r="B2" s="7" t="s">
        <v>277</v>
      </c>
      <c r="C2" s="8"/>
    </row>
    <row r="3" spans="1:3" ht="21" x14ac:dyDescent="0.55000000000000004">
      <c r="A3" s="3" t="s">
        <v>278</v>
      </c>
      <c r="B3" s="7">
        <f>COUNTA(Screening!I2:I51)</f>
        <v>46</v>
      </c>
      <c r="C3" s="8">
        <f>B3/B2</f>
        <v>0.92</v>
      </c>
    </row>
    <row r="4" spans="1:3" ht="21" x14ac:dyDescent="0.55000000000000004">
      <c r="A4" s="3" t="s">
        <v>279</v>
      </c>
      <c r="B4" s="7">
        <f>B2-B3</f>
        <v>4</v>
      </c>
      <c r="C4" s="8">
        <f>B4/B2</f>
        <v>0.08</v>
      </c>
    </row>
    <row r="5" spans="1:3" ht="21" x14ac:dyDescent="0.55000000000000004">
      <c r="A5" s="2"/>
      <c r="B5" s="7"/>
      <c r="C5" s="8"/>
    </row>
    <row r="6" spans="1:3" ht="21" x14ac:dyDescent="0.55000000000000004">
      <c r="A6" s="3" t="s">
        <v>280</v>
      </c>
      <c r="B6" s="7">
        <f>COUNTIF(Screening!I2:I51,"include")</f>
        <v>24</v>
      </c>
      <c r="C6" s="8">
        <f>IF(B3&gt;0,B7/B3,"")</f>
        <v>0.47826086956521741</v>
      </c>
    </row>
    <row r="7" spans="1:3" ht="21" x14ac:dyDescent="0.55000000000000004">
      <c r="A7" s="3" t="s">
        <v>281</v>
      </c>
      <c r="B7" s="7">
        <f>COUNTIF(Screening!I2:I51,"exclude")</f>
        <v>22</v>
      </c>
      <c r="C7" s="8">
        <f>IF(B3&gt;0,B8/B3,"")</f>
        <v>0</v>
      </c>
    </row>
    <row r="8" spans="1:3" ht="21" x14ac:dyDescent="0.55000000000000004">
      <c r="A8" s="3" t="s">
        <v>282</v>
      </c>
      <c r="B8" s="7">
        <f>COUNTIF(Screening!I2:I51,"maybe")</f>
        <v>0</v>
      </c>
      <c r="C8" s="8">
        <f>IF(B3&gt;0,B9/B3,"")</f>
        <v>0</v>
      </c>
    </row>
  </sheetData>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Screening</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Wallerich</cp:lastModifiedBy>
  <dcterms:created xsi:type="dcterms:W3CDTF">2026-03-14T15:25:39Z</dcterms:created>
  <dcterms:modified xsi:type="dcterms:W3CDTF">2026-03-15T14:40:03Z</dcterms:modified>
</cp:coreProperties>
</file>