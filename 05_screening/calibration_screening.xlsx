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microsofteur-my.sharepoint.com/personal/t-vwallerich_microsoft_com/Documents/Quantum/SLR/quantum-finance-slr/05_screening/"/>
    </mc:Choice>
  </mc:AlternateContent>
  <xr:revisionPtr revIDLastSave="118" documentId="11_D527F4824CE2E13B04A735E928EB64038D7A9DA5" xr6:coauthVersionLast="47" xr6:coauthVersionMax="47" xr10:uidLastSave="{355D7AD3-C5D5-477E-8F81-4C278343F62E}"/>
  <bookViews>
    <workbookView xWindow="-110" yWindow="-110" windowWidth="22780" windowHeight="14540" firstSheet="1" activeTab="1" xr2:uid="{00000000-000D-0000-FFFF-FFFF00000000}"/>
  </bookViews>
  <sheets>
    <sheet name="Instructions" sheetId="1" r:id="rId1"/>
    <sheet name="Screening" sheetId="2" r:id="rId2"/>
    <sheet name="Progress" sheetId="3" r:id="rId3"/>
  </sheets>
  <definedNames>
    <definedName name="_xlnm._FilterDatabase" localSheetId="1" hidden="1">Screening!$A$1:$L$51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2" l="1"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8" i="2" a="1"/>
  <c r="K38" i="2"/>
  <c r="K39" i="2" a="1"/>
  <c r="K39" i="2"/>
  <c r="K40" i="2" a="1"/>
  <c r="K40" i="2"/>
  <c r="K41" i="2" a="1"/>
  <c r="K41" i="2"/>
  <c r="K42" i="2" a="1"/>
  <c r="K42" i="2"/>
  <c r="K43" i="2" a="1"/>
  <c r="K43" i="2"/>
  <c r="K44" i="2" a="1"/>
  <c r="K44" i="2"/>
  <c r="K45" i="2" a="1"/>
  <c r="K45" i="2"/>
  <c r="K46" i="2" a="1"/>
  <c r="K46" i="2"/>
  <c r="K47" i="2" a="1"/>
  <c r="K47" i="2"/>
  <c r="K48" i="2" a="1"/>
  <c r="K48" i="2"/>
  <c r="K49" i="2" a="1"/>
  <c r="K49" i="2"/>
  <c r="K50" i="2" a="1"/>
  <c r="K50" i="2"/>
  <c r="K51" i="2" a="1"/>
  <c r="K51" i="2"/>
  <c r="K2" i="2" a="1"/>
  <c r="K2" i="2"/>
  <c r="B8" i="3"/>
  <c r="B7" i="3"/>
  <c r="B6" i="3"/>
  <c r="B3" i="3"/>
  <c r="C8" i="3" l="1"/>
  <c r="C7" i="3"/>
  <c r="C6" i="3"/>
  <c r="B4" i="3"/>
  <c r="C4" i="3" s="1"/>
  <c r="C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<sst xmlns="http://schemas.openxmlformats.org/spreadsheetml/2006/main" count="472" uniqueCount="290">
  <si>
    <t>Title/Abstract Screening — Instructions</t>
  </si>
  <si>
    <t>This is the CALIBRATION file — both reviewers screen the same 50 records.</t>
  </si>
  <si>
    <t>Fill YOUR column only (Reviewer A Decision or Reviewer B Decision).</t>
  </si>
  <si>
    <t>GOAL</t>
  </si>
  <si>
    <t>Decide whether each paper should be INCLUDED or EXCLUDED based on its title and abstract. When in doubt, INCLUDE.</t>
  </si>
  <si>
    <t>INCLUSION CRITERIA (all must hold):</t>
  </si>
  <si>
    <t xml:space="preserve">  1. Uses or proposes a gate-based quantum computing approach</t>
  </si>
  <si>
    <t xml:space="preserve">  2. Addresses a financial application or use case</t>
  </si>
  <si>
    <t xml:space="preserve">  3. Contains enough detail to extract: problem family, quantum method, evaluation type</t>
  </si>
  <si>
    <t>QUICK EXCLUSION RULES:</t>
  </si>
  <si>
    <t xml:space="preserve">  - Quantum annealing ONLY (no gate-based component) -&gt; exclude</t>
  </si>
  <si>
    <t xml:space="preserve">  - Quantum-inspired classical algorithms -&gt; exclude</t>
  </si>
  <si>
    <t xml:space="preserve">  - Not finance (chemistry, logistics, etc.) -&gt; exclude</t>
  </si>
  <si>
    <t xml:space="preserve">  - Pure hardware, no application -&gt; exclude</t>
  </si>
  <si>
    <t xml:space="preserve">  - Survey/review papers -&gt; exclude (used for snowballing only)</t>
  </si>
  <si>
    <t xml:space="preserve">  - Non-English -&gt; exclude</t>
  </si>
  <si>
    <t>HOW TO SCREEN:</t>
  </si>
  <si>
    <t xml:space="preserve">  1. Go to the 'Screening' sheet</t>
  </si>
  <si>
    <t xml:space="preserve">  2. Read the Title and Abstract for each row</t>
  </si>
  <si>
    <t xml:space="preserve">  3. Click the Decision column and select: include / exclude / maybe</t>
  </si>
  <si>
    <t xml:space="preserve">  4. Add notes if helpful (especially for 'maybe' decisions)</t>
  </si>
  <si>
    <t xml:space="preserve">  5. The row will auto-colour: green=include, red=exclude, yellow=maybe</t>
  </si>
  <si>
    <t>WHEN IN DOUBT -&gt; choose 'maybe' (will be discussed jointly)</t>
  </si>
  <si>
    <t>PROGRESS:</t>
  </si>
  <si>
    <t xml:space="preserve">  Check the 'Progress' sheet to see how many you have left.</t>
  </si>
  <si>
    <t>#</t>
  </si>
  <si>
    <t>Paper ID</t>
  </si>
  <si>
    <t>Title</t>
  </si>
  <si>
    <t>Authors</t>
  </si>
  <si>
    <t>Year</t>
  </si>
  <si>
    <t>DOI</t>
  </si>
  <si>
    <t>Abstract</t>
  </si>
  <si>
    <t>Source</t>
  </si>
  <si>
    <t>Reviewer A Decision</t>
  </si>
  <si>
    <t>Reviewer B Decision</t>
  </si>
  <si>
    <t>Final Decision</t>
  </si>
  <si>
    <t>Notes</t>
  </si>
  <si>
    <t>48b6b297cda4</t>
  </si>
  <si>
    <t>Finance Reenvisioned: The AI Impact on Cryptocurrencies, FinTech, and Economic Futures</t>
  </si>
  <si>
    <t>Murali Krishna Pasupuleti</t>
  </si>
  <si>
    <t>2024</t>
  </si>
  <si>
    <t>10.62311/nesx/rb-978-81-972314-8-3</t>
  </si>
  <si>
    <t>Abstract: Finance Reenvisioned: The AI Impact on Cryptocurrencies, FinTech, and Economic Futures synthesises a wide-ranging body of research to articulate an integrated agenda for AI-enabled finance. The book first develops rigorous theoretical foundations for financial AI by drawing on statistical learning theory, control theory, and statistical and topological field frameworks for deep architectures, thereby clarifying how model design, evaluation, and scaling laws should be adapted for high-stakes financial and crypto-economic applications. It then examines quantum-safe and quantum-enhanced infrastructures, including post-quantum cryptography, quantum-inspired optimisation, and quantum machine learning, as the emerging security and performance backbone of digital currencies and payment systems. Methodological advances in causal, streaming, and digital twin analytics are brought together as a toolkit for AI-driven FinTech innovation and prudential risk management, spanning large-scale experimentation, real-time inference, and physics-informed modelling. These tools are applied to ESG-oriented real estate and infrastructure finance, where AI, climate science, and corporate governance interact to reprice risk and value. Finally, the book situates AI-enabled finance within a broader governance and socio-economic context, engaging with ethical AI governance, cyberlaw, blockchain-based legal architectures, public policy implementation, and geo-economic power shifts. Across these subthemes, Finance Reenvisioned argues that the trajectory of AI in cryptocurrencies, FinTech, and macro-finance is not technologically predetermined but contingent on design choices, regulatory architectures, and societal values. Keywords Artificial intelligence; Cryptocurrencies; FinTech; Quantum-safe finance; Causal inference; Digital twins; ESG and climate finance; Financial regulation; Economic futures; Governance.</t>
  </si>
  <si>
    <t>openalex</t>
  </si>
  <si>
    <t>exclude</t>
  </si>
  <si>
    <t>3d6d6393f792</t>
  </si>
  <si>
    <t>A comparison on constrain encoding methods for quantum approximate optimization algorithm</t>
  </si>
  <si>
    <t>Yiwen Liu; Qingyue Jiao; Yidong Zhou; Zhiding Liang; Yiyu Shi; Ke Wan; Shangjie Guo</t>
  </si>
  <si>
    <t>The Quantum Approximate Optimization Algorithm (QAOA) represents a significant opportunity for practical quantum computing applications, particularly in the era before error correction is fully realized. This algorithm is especially relevant for addressing constraint satisfaction problems (CSPs), which are critical in various fields such as supply chain management, energy distribution, and financial modeling. In our study, we conduct a numerical comparison of three different strategies for incorporating linear constraints into QAOA: transforming them into an unconstrained format, introducing penalty dephasing, and utilizing the quantum Zeno effect. We assess the efficiency and effectiveness of these methods using the knapsack problem as a case study. Our findings provide insights into the potential applicability of different encoding methods for various use cases.</t>
  </si>
  <si>
    <t>arxiv</t>
  </si>
  <si>
    <t>include</t>
  </si>
  <si>
    <t>1760158c7e1b</t>
  </si>
  <si>
    <t>Option Pricing using Quantum Computers</t>
  </si>
  <si>
    <t>Nikitas Stamatopoulos; Daniel J. Egger; Yue Sun; Christa Zoufal; Raban Iten; Ning Shen; Stefan Woerner</t>
  </si>
  <si>
    <t>2019</t>
  </si>
  <si>
    <t>10.22331/q-2020-07-06-291</t>
  </si>
  <si>
    <t>We present a methodology to price options and portfolios of options on a gate-based quantum computer using amplitude estimation, an algorithm which provides a quadratic speedup compared to classical Monte Carlo methods. The options that we cover include vanilla options, multi-asset options and path-dependent options such as barrier options. We put an emphasis on the implementation of the quantum circuits required to build the input states and operators needed by amplitude estimation to price the different option types. Additionally, we show simulation results to highlight how the circuits that we implement price the different option contracts. Finally, we examine the performance of option pricing circuits on quantum hardware using the IBM Q Tokyo quantum device. We employ a simple, yet effective, error mitigation scheme that allows us to significantly reduce the errors arising from noisy two-qubit gates.</t>
  </si>
  <si>
    <t>c7adafc69b75</t>
  </si>
  <si>
    <t>Fintech's Role in Automating Taxation and Compliance</t>
  </si>
  <si>
    <t>Advik Dhingra</t>
  </si>
  <si>
    <t>2025</t>
  </si>
  <si>
    <t>10.36948/ijfmr.2025.v07i03.44419</t>
  </si>
  <si>
    <t>FinTech is transforming taxation and compliance by automating processes, improving efficiency, and enhancing regulatory oversight. This research explores how AI, blockchain, quantum computing, and cloud-based solutions streamline tax administration, reduce fraud, and improve financial inclusion. While automation has increased accuracy and reduced costs, challenges such as cybersecurity risks, data privacy concerns, and inconsistent global regulations remain. The study recommends stronger collaboration between regulators and FinTech providers, the adoption of scalable solutions by businesses, and a focus on cost-effective, user-friendly innovations by FinTech developers. Ultimately, FinTech has the potential to modernize tax compliance, but further research is needed to address regulatory gaps and ensure widespread accessibility.</t>
  </si>
  <si>
    <t>6b2b4f6ba298</t>
  </si>
  <si>
    <t>&amp;lt;div&amp;gt; Multiplicative-Weights Methods and Gibbs-State Preparation for Conic Portfolio Optimization:&amp;amp;nbsp;&amp;lt;/div&amp;gt;&amp;lt;div&amp;gt; A Mathematical Framework Connecting Quantum Algorithms, Jordan Algebras, and Quantitative Finance&amp;lt;/div&amp;gt;</t>
  </si>
  <si>
    <t>Miquel Noguer i Alonso</t>
  </si>
  <si>
    <t>2026</t>
  </si>
  <si>
    <t>10.2139/ssrn.6103666</t>
  </si>
  <si>
    <t>323683ff9874</t>
  </si>
  <si>
    <t>Time Series Forecasting Using Quantum Machine Learning Algorithms</t>
  </si>
  <si>
    <t>Fathima Nihla Latheef; Rubell Marion Lincy G</t>
  </si>
  <si>
    <t>10.1007/978-981-97-6957-5_16</t>
  </si>
  <si>
    <t>8ec2f4030249</t>
  </si>
  <si>
    <t>Hybrid ARMA-GARCH-Neural Networks for intraday strategy exploration in high-frequency trading</t>
  </si>
  <si>
    <t>David Alaminos; M. Belén Salas; Antonio Partal Ureña</t>
  </si>
  <si>
    <t>2023</t>
  </si>
  <si>
    <t>10.1016/j.patcog.2023.110139</t>
  </si>
  <si>
    <t>47688b4abd0b</t>
  </si>
  <si>
    <t>Quantum Bayesian Networks for Machine Learning in Oil-Spill Detection</t>
  </si>
  <si>
    <t>Owais Ishtiaq Siddiqui; Nouhaila Innan; Alberto Marchisio; Mohamed Bennai; Muhammad Shafique</t>
  </si>
  <si>
    <t>10.1109/IJCNN64981.2025.11228312</t>
  </si>
  <si>
    <t>Quantum Machine Learning (QML) has shown promise in diverse applications such as environmental monitoring, healthcare diagnostics, and financial modeling. However, its practical implementation faces challenges, including limited quantum hardware and the complexity of integrating quantum algorithms with classical systems. One critical challenge is handling imbalanced datasets, where rare events are often misclassified due to skewed data distributions. Quantum Bayesian Networks (QBNs) address this issue by enhancing feature extraction and improving the classification of rare events such as oil spills. This paper introduces a Bayesian approach utilizing QBNs to classify satellite-derived imbalanced datasets, distinguishing ``oil-spill'' from ``non-spill'' regions. QBNs leverage probabilistic reasoning and quantum state preparation to integrate quantum enhancements into classical machine learning architectures. Our approach achieves a 0.99 AUC score, demonstrating its efficacy in anomaly detection and advancing precise environmental monitoring and management. While integration enhances classification performance, dataset-specific challenges require further optimization.</t>
  </si>
  <si>
    <t>maybe</t>
  </si>
  <si>
    <t>31ed6a5ae697</t>
  </si>
  <si>
    <t>Quantum Technology, Big Tech, and Shifting Structural Power in the International System</t>
  </si>
  <si>
    <t>Murphy, Elena K</t>
  </si>
  <si>
    <t>10.6082/uchicago.16699</t>
  </si>
  <si>
    <t>This thesis examines how quantum computing technology serves as a catalyst for fundamental shifts in structural power within the international system, particularly through the divergent innovation strategies of the United States and China. As quantum technologies advance toward breaking current encryption methods and enabling revolutionary capabilities in sensing and communications, the question of who controls these innovations becomes critical to understanding future power dynamics. The analysis reveals two contrasting approaches to quantum technology development. China has adopted a centralized, state-driven model, forcing its Big Tech firms to relinquish quantum research control and consolidating efforts through institutions like the Anhui Quantum Computing Engineering Research Center. This approach has enabled China to lead in quantum communications, establishing a 12,000-kilometer quantum network and launching quantum key distribution satellites. Conversely, the United States has delegated quantum innovation to private corporations, with firms like IBM, Microsoft, Amazon, and Alphabet emerging as primary developers. This market-based approach has produced advantages in quantum computing research but has simultaneously transferred unprecedented power to these corporations. Drawing on theories of technoscience rent, digital sovereignty, and structural power, this thesis argues that the U.S. delegation strategy has allowed Big Tech firms to accumulate power across all four dimensions of Susan Strange's structural power framework: security, finance, production, and knowledge. Through their control of technological infrastructure, data sovereignty, and platform power exercised via algorithmic governance, these firms now function as quasi-sovereign entities capable of constraining state foreign policy decisions. The advent of quantum computing threatens to cement this power consolidation, as firms control both the technologies necessary to break current encryption and the quantum-resistant solutions required for future security. The theoretical framework integrates concepts from quantum mechanics—particularly entanglement, uncertainty, and superposition—to reconceptualize power relationships in the international system. This quantum approach reveals how Big Tech's control over critical infrastructure creates dependencies that transcend traditional territorial sovereignty, establishing what can be termed "digital sovereignty" that operates independently of geographic boundaries. The implications are profound: states that have delegated innovation to firms face growing vulnerabilities as these corporations gain leverage over national security, economic infrastructure, and global communications. China's preemptive measures to prevent Big Tech dominance in quantum technology suggest recognition of these risks. This research contributes to international relations theory by demonstrating how technological infrastructure control by non-state actors fundamentally challenges state-centric paradigms and necessitates new frameworks for understanding power, sovereignty, and security in the quantum era.</t>
  </si>
  <si>
    <t>Interesting, not relevant</t>
  </si>
  <si>
    <t>f5b1f05fe558</t>
  </si>
  <si>
    <t>Portfolio Optimization of 40 Stocks Using the DWave Quantum Annealer</t>
  </si>
  <si>
    <t>Jeffrey Cohen; Alex Khan; Clark Alexander</t>
  </si>
  <si>
    <t>2020</t>
  </si>
  <si>
    <t>We investigate the use of quantum computers for building a portfolio out of a universe of U.S. listed, liquid equities that contains an optimal set of stocks. Starting from historical market data, we look at various problem formulations on the D-Wave Systems Inc. D-Wave 2000Q(TM) System (hereafter called DWave) to find the optimal risk vs return portfolio; an optimized portfolio based on the Markowitz formulation and the Sharpe ratio, a simplified Chicago Quantum Ratio (CQR), then a new Chicago Quantum Net Score (CQNS). We approach this first classically, then by our new method on DWave. Our results show that practitioners can use a DWave to select attractive portfolios out of 40 U.S. liquid equities.</t>
  </si>
  <si>
    <t>352499d09cdb</t>
  </si>
  <si>
    <t>The Physics of Survival: Fisher Blindness, Rank Collapse, and the Necessity of Basis Rotation in Complex Systems</t>
  </si>
  <si>
    <t>Abhishek Saurabh</t>
  </si>
  <si>
    <t>10.5281/zenodo.18308859</t>
  </si>
  <si>
    <t>Description (Abstract) Abstract We propose a unified computational framework linking Non-Equilibrium Thermodynamics, Quantum Error Correction (QEC), and Evolutionary Biology via the geometry of Structural Time (t_3). This monograph establishes an Effective Field Theory (EFT) for describing the statistical manifolds of complex adaptive systems. It demonstrates that "Systemic Risk" is not a stochastic anomaly but an invariant topological quantity—termed Structural Mass—that accumulates in the macroscopic time dimension (Renormalization Scale z) during standard execution cycles (t_1). Core Theoretical Contributions: The Fisher-Blindness No-Go Theorem: We prove that any boundary observer optimizing solely for short-term execution efficiency (Delta X -&gt; 0) becomes statistically blind to structural phase transitions. This is derived strictly from the Cramér-Rao Bound, defining a fundamental Lag Horizon beyond which risk is mathematically unobservable. Rank Collapse: We identify the universal failure mode of complex systems as a dimensional reduction of the Covariance Matrix. In Finance, this manifests as a "Liquidity Bomb"; in AI, as "Mode Collapse" (Hallucination); and in Biology, as "Mutational Meltdown." The Stability Governance Limit: We derive an information-theoretic uncertainty principle, $\Delta X \cdot \Delta P \ge \hbar_{eff}/2$, proving that "Hyper-Stability" (Squeezing) inevitably forces structural risk ($\Delta P$) to diverge. Biological &amp; Engineering Implications: The framework re-interprets Sexual Reproduction (Mating) not as a biological idiosyncrasy, but as a geometric constraint requirement. We demonstrate that mating functions as a Distributed Error Correction Algorithm that utilizes Basis Rotation to expose and purge hidden structural errors that are invisible to asexual (clonal) lineages. Finally, we propose engineering applications of these principles to solve systemic fragility in synthetic systems: The Topological Data Analysis (TDA) Engine: An FPGA-based instrument for detecting "Liquidity Bombs" in financial markets by measuring the topological winding number of the trade manifold. Algorithmic Recombination: A protocol for AI training to prevent neural mode collapse (hallucination) by periodically rotating the basis vectors of the model weights. Keywords: Systemic Risk, Information Geometry, Quantum Error Correction, Evolutionary Dynamics, Fisher Information, Rank Collapse, Econophysics, AI Safety, Topological Data Analysis.</t>
  </si>
  <si>
    <t>346b80c33fe2</t>
  </si>
  <si>
    <t>Quantum Computing and Cybersecurity Education: A Novel Curriculum for Enhancing Graduate STEM Learning</t>
  </si>
  <si>
    <t>Suryansh Upadhyay; Koustubh Phalak; Jungeun Lee; Kathleen Hill; Swaroop Ghosh</t>
  </si>
  <si>
    <t>10.48550/arxiv.2503.09375</t>
  </si>
  <si>
    <t>Quantum computing is an emerging paradigm with the potential to transform numerous application areas by addressing problems considered intractable in the classical domain. However, its integration into cyberspace introduces significant security and privacy challenges. The exponential rise in cyber attacks, further complicated by quantum capabilities, poses serious risks to financial systems and national security. The scope of quantum threats extends beyond traditional software, operating system, and network vulnerabilities, necessitating a shift in cybersecurity education. Traditional cybersecurity education, often reliant on didactic methods, lacks hands on, student centered learning experiences necessary to prepare students for these evolving challenges. There is an urgent need for curricula that address both classical and quantum security threats through experiential learning. In this work, we present the design and evaluation of EE 597: Introduction to Hardware Security, a graduate level course integrating hands-on quantum security learning with classical security concepts through simulations and cloud-based quantum hardware. Unlike conventional courses focused on quantum threats to cryptographic systems, EE 597 explores security challenges specific to quantum computing itself. We employ a mixed-methods evaluation using pre and post surveys to assess student learning outcomes and engagement. Results indicate significant improvements in students' understanding of quantum and hardware security, with strong positive feedback on course structure and remote instruction (mean scores: 3.33 to 3.83 on a 4 point scale).</t>
  </si>
  <si>
    <t>41a852fada38</t>
  </si>
  <si>
    <t>Quantum Analysis of Continuous Time Stochastic Process</t>
  </si>
  <si>
    <t>Xi-Ning Zhuang; Zhao-Yun Chen; Cheng Xue; Yuchun Wu; Guo‐Ping Guo</t>
  </si>
  <si>
    <t>2022</t>
  </si>
  <si>
    <t>semantic_scholar</t>
  </si>
  <si>
    <t>ed02e34c2236</t>
  </si>
  <si>
    <t>Quantum Computing: A Beginner's Guide To Future Processing</t>
  </si>
  <si>
    <t>Rejina P V</t>
  </si>
  <si>
    <t>10.5281/zenodo.18919205</t>
  </si>
  <si>
    <t>Quantum computing represents a fundamentally different computational paradigm that harnesses quantum mechanical phenomena to process information in ways that classical computers cannot efficiently replicate. This paper provides an accessible introduction to quantum computing for IT professionals and developers seeking to understand the technology's principles, current state, and practical implications. The paper covers the foundational concepts of qubits, superposition, entanglement, and quantum gates, followed by an examination of prominent quantum algorithms and their applications. A comparative analysis of current quantum hardware approaches, including superconducting circuits, trapped ions, and photonic systems, contextualizes the engineering challenges that remain. The paper also addresses the implications of quantum computing for cryptography and outlines the emerging field of post-quantum cryptography. Market analysis and industry investment patterns suggest that while general-purpose quantum advantage remains years away, specific domain applications in chemistry, optimization, and financial modeling are approaching practical viability.</t>
  </si>
  <si>
    <t>Would be helpful to develop the conceptual framework</t>
  </si>
  <si>
    <t>cf803ec26409</t>
  </si>
  <si>
    <t>Quasi-binary encoding based quantum alternating operator ansatz</t>
  </si>
  <si>
    <t>Bingren Chen; Hanqing Wu; Haomu Yuan; Lei Wu; Xin Li</t>
  </si>
  <si>
    <t>This paper proposes a quasi-binary encoding based algorithm for solving a specific quadratic optimization models with discrete variables, in the quantum approximate optimization algorithm (QAOA) framework. The quadratic optimization model has three constraints: 1. Discrete constraint, the variables are required to be integers. 2. Bound constraint, each variable is required to be greater than or equal to an integer and less than or equal to another integer. 3. Sum constraint, the sum of all variables should be a given integer.   To solve this optimization model, we use quasi-binary encoding to encode the variables. For an integer variable with upper bound $U_i$ and lower bound $L_i$, this encoding method can use at most $2\log_2 (U_i-L_i+1)$ qubits to encode the variable. Moreover, we design a mixing operator specifically for this encoding to satisfy the hard constraint model. In the hard constraint model, the quantum state always satisfies the constraints during the evolution, and no penalty term is needed in the objective function. In other parts of the QAOA framework, we also incorporate ideas such as CVaR-QAOA and parameter scheduling methods into our QAOA algorithm.   In the financial field, by introducing precision, portfolio optimization problems can be reduced to the above model. We will use portfolio optimization cases for numerical simulation. We design an iterative method to solve the problem of coarse precision caused by insufficient qubits of the simulators or quantum computers. This iterative method can refine the precision by multiple few-qubit experiments.</t>
  </si>
  <si>
    <t>100335736ba1</t>
  </si>
  <si>
    <t>Quantum Machine Learning: Redefining Computational Boundaries</t>
  </si>
  <si>
    <t>Arshdeep; Konika Rani; Karanpreet Singh; S. K. Chauhan; Harsh Kumar; Vatsalya Mishra</t>
  </si>
  <si>
    <t>10.1109/ccict65753.2025.00018</t>
  </si>
  <si>
    <t>Machine learning, a subset of AI is moving algorithms in the system which can be learned by data and not programmed explicitly. Various applications of AI across professionals like finance, health-care and automation. With the advancements in Machine Learning, Quantum Machine Learning (QML) or more concretely integrating quantum mechanics into classical machine learning tasks is emerging since QM provides some of the principles to increase efficiency from computational benchmarks. From the most used types of machine learning and algorithms to quantum its usage and applications in Quantum Machine Learning (QML) this paper covers everything. We then articulate some benefits and difficulties of merging quantum computing with machine learning, as well the real-life applications across industry backbones.</t>
  </si>
  <si>
    <t>c1358ec0f6a6</t>
  </si>
  <si>
    <t>Quantum Computation for Pricing Caps using the LIBOR Market Model</t>
  </si>
  <si>
    <t>Hao Tang; Wenxun Wu; Xian‐Min Jin</t>
  </si>
  <si>
    <t>10.48550/arxiv.2207.01558</t>
  </si>
  <si>
    <t>The LIBOR Market Model (LMM) is a widely used model for pricing interest rate derivatives. While the Black-Scholes model is well-known for pricing stock derivatives such as stock options, a larger portion of derivatives are based on interest rates instead of stocks. Pricing interest rate derivatives used to be challenging, as their previous models employed either the instantaneous interest or forward rate that could not be directly observed in the market. This has been much improved since LMM was raised, as it uses directly observable interbank offered rates and is expected to be more precise. Recently, quantum computing has been used to speed up option pricing tasks, but rarely on structured interest rate derivatives. Given the size of the interest rate derivatives market and the widespread use of LMM, we employ quantum computing to price an interest rate derivative, caps, based on the LMM. As caps pricing relates to path-dependent Monte Carlo iterations for different tenors, which is common for many complex structured derivatives, we developed our hybrid classical-quantum approach that applies the quantum amplitude estimation algorithm to estimate the expectation for the last tenor. We show that our hybrid approach still shows better convergence than pure classical Monte Carlo methods, providing a useful case study for quantum computing with a greater diversity of derivatives.</t>
  </si>
  <si>
    <t>1bad58b8e8e7</t>
  </si>
  <si>
    <t>Empirical Evaluation of QAOA with Zero Noise Extrapolation on NISQ Hardware for Carbon Credit Portfolio Optimization in the Brazilian Cerrado</t>
  </si>
  <si>
    <t>Hugo José Ribeiro</t>
  </si>
  <si>
    <t>Optimizing carbon credit portfolios is a critical challenge for climate mitigation, particularly in high-biodiversity biomes such as the Brazilian Cerrado. This study explores the practical application of the Quantum Approximate Optimization Algorithm (QAOA) combined with Zero Noise Extrapolation (ZNE) to address a multi-objective territorial planning problem. We model an 88-variable portfolio optimization involving carbon sequestration, biodiversity connectivity, and social impact metrics, executed on intermediate-scale IBM Quantum hardware (ibm_torino and ibm_fez). The results of seven independent hardware runs demonstrate that the QAOA+ZNE workflow consistently outperforms a classical greedy baseline. The quantum method achieves a mean portfolio score of 58.47 +/- 6.98, corresponding to a 31.6% improvement over the classical heuristic (44.42), with high statistical significance (p = 0.0009) and a large effect size (Cohen's d = 2.01), where ZNE yields extrapolated expectation values of the portfolio objective rather than a discrete portfolio solution without noise. A validation run conducted after a 13-day interval confirms the temporal stability of the methodology against hardware calibration drifts. These findings establish empirical quantum utility in an environmental science context, showing that current NISQ-era devices, when coupled with rigorous error mitigation, can identify complex territorial synergies that myopic classical approaches overlook. The proposed workflow provides a scalable methodological template for high-precision environmental conservation policies.</t>
  </si>
  <si>
    <t>3a533a166c84</t>
  </si>
  <si>
    <t>Quantum Portfolio Optimization: An Extensive Benchmark</t>
  </si>
  <si>
    <t>Eric Stopfer; Friedrich Wagner</t>
  </si>
  <si>
    <t>Recently, several researchers proposed portfolio optimization as a potential use case for quantum optimization. However, the literature is lacking an extensive benchmark quantifying the potential of quantum computers for portfolio optimization. In this work, we fill this gap. We provide a computational study, comparing quantum approaches against state-of-the-art classical methods on a meaningful, real-world instance set. In particular, we compare quantum annealing and the quantum approximate optimization algorithm against classical mixed-integer programming, simulated annealing, steepest descent local search, tabu search and a problem-tailored heuristics. We consider a variant of portfolio optimization which we show to be particular difficult for classical solvers in practice. Our benchmark comprises 250 instances with up to 1,000 assets from actual stock data. The results show that all instances can be solved to proven optimality by mixed-integer programming in the order of seconds. Moreover, the problem-tailored heuristic consistently outperforms quantum approaches in terms of solution quality for fixed runtime. Thus, we conclude that there is only very limited room for a potential quantum advantage in portfolio optimization.</t>
  </si>
  <si>
    <t>d3bf87c97dee</t>
  </si>
  <si>
    <t>Exponential Qubit Reduction in Optimization for Financial Transaction Settlement</t>
  </si>
  <si>
    <t>Elias X. Huber; Benjamin Y. L. Tan; Paul R. Griffin; Dimitris G. Angelakis</t>
  </si>
  <si>
    <t>10.1140/epjqt/s40507-024-00262-w</t>
  </si>
  <si>
    <t>We extend the qubit-efficient encoding presented in [Tan et al., Quantum 5, 454 (2021)] and apply it to instances of the financial transaction settlement problem constructed from data provided by a regulated financial exchange. Our methods are directly applicable to any QUBO problem with linear inequality constraints. Our extension of previously proposed methods consists of a simplification in varying the number of qubits used to encode correlations as well as a new class of variational circuits which incorporate symmetries, thereby reducing sampling overhead, improving numerical stability and recovering the expression of the cost objective as a Hermitian observable. We also propose optimality-preserving methods to reduce variance in real-world data and substitute continuous slack variables. We benchmark our methods against standard QAOA for problems consisting of 16 transactions and obtain competitive results. Our newly proposed variational ansatz performs best overall. We demonstrate tackling problems with 128 transactions on real quantum hardware, exceeding previous results bounded by NISQ hardware by almost two orders of magnitude.</t>
  </si>
  <si>
    <t>143b33c84fe7</t>
  </si>
  <si>
    <t>Artificial intelligence, machine learning, deep learning, and blockchain in financial and banking services: a comprehensive review</t>
  </si>
  <si>
    <t>Mallikarjuna Paramesha; Nitin Rane; Jayesh Rane</t>
  </si>
  <si>
    <t>10.2139/ssrn.4855893</t>
  </si>
  <si>
    <t>b97e7f0690c5</t>
  </si>
  <si>
    <t>A Quantum Circuit Design for Quantum Portfolio Optimization Problem</t>
  </si>
  <si>
    <t>Vu Truc Quynh; Vu Tuan Hai; Vu Trung Duong Le; Pham Hoai Luan; Yasuhiko Nakashima</t>
  </si>
  <si>
    <t>10.1109/itc-cscc62988.2024.10628188</t>
  </si>
  <si>
    <t>Portfolio optimization is an important problem in the quantum finance field, which aims to find optimal investment strategies that strike a balance between high returns and minimize risks with some constraints related. In the context of millions of assets, quantum methods such as Variational Quantum Eigensolver and Quantum Approximate Optimization Algorithm offer logarithm complexity compared with quadratic complexity in classical methods. However, those methods are designed for a massive range of applications and are not specified for any particular problem. Therefore, in this research, we present a quantum circuit design called QPO that has more functions for portfolio optimization, such as switch mode. We first tested the proposed circuit on 97 assets from 30 April 2023 to 30 June 2023. The results compared with classical solutions are consistent with an average Hamming distance 0.092.</t>
  </si>
  <si>
    <t>aa0f8200d68f</t>
  </si>
  <si>
    <t>A Hybrid Quantum-Classical Framework for Solving Np-Hard Optimization Problems</t>
  </si>
  <si>
    <t>IJMSRT</t>
  </si>
  <si>
    <t>10.5281/zenodo.18087323</t>
  </si>
  <si>
    <t>The optimization of NP-hard problems remains a fundamental challenge in computational science, as these problems cannot be solved in polynomial time using classical algorithms. The exponential growth of solution spaces renders traditional methods inefficient for large problem instances. Quantum computing, with its ability to leverage quantum parallelism and superposition, promises to offer substantial speedups for specific problem classes. However, quantum algorithms alone are often limited by factors such as noise, qubit coherence, and limited qubit counts. This paper proposes a hybrid quantum-classical framework that integrates the strengths of both classical and quantum computing to solve NPhard optimization problems efficiently. The proposed framework utilizes classical preprocessing techniques (e.g., heuristics and dynamic programming) to reduce problem complexity before applying quantum subroutines like Quantum Annealing (QA) or Quantum Approximate Optimization Algorithm (QAOA) to explore large solution spaces. After the quantum processor generates candidate solutions, classical postprocessing algorithms (e.g., genetic algorithms) further refine the results to ensure they meet realworld constraints. We demonstrate the effectiveness of this hybrid approach by evaluating it on three classic NP-hard problems: The Traveling Salesman Problem (TSP), Knapsack Problem, and Job Scheduling. Our experiments show that the hybrid framework outperforms traditional classical methods in terms of computation time and solution quality, especially for larger problem instances. This approach offers a promising path for solving complex optimization problems in practical applications, including logistics, manufacturing, and finance. The paper concludes with a discussion of the potential for scaling the framework to larger problem sizes and enhancing its robustness throughfurtherquantumhardwareadvancements</t>
  </si>
  <si>
    <t>412a4331b358</t>
  </si>
  <si>
    <t>Software for Creating Scalable Benchmarks from Quantum Algorithms</t>
  </si>
  <si>
    <t>Siekierski, Noah; Seritan, Stefan; Patel, Neer; Niu, Siyuan; Lubinski, Thomas; Proctor, Timothy</t>
  </si>
  <si>
    <t>10.48550/arxiv.2511.02134</t>
  </si>
  <si>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</si>
  <si>
    <t>29cfef5a271e</t>
  </si>
  <si>
    <t>Derivative Pricing using Quantum Signal Processing</t>
  </si>
  <si>
    <t>Nikitas Stamatopoulos; William J. Zeng</t>
  </si>
  <si>
    <t>10.22331/q-2024-04-30-1322</t>
  </si>
  <si>
    <t>Pricing financial derivatives on quantum computers typically includes quantum arithmetic components which contribute heavily to the quantum resources required by the corresponding circuits. In this manuscript, we introduce a method based on Quantum Signal Processing (QSP) to encode financial derivative payoffs directly into quantum amplitudes, alleviating the quantum circuits from the burden of costly quantum arithmetic. Compared to current state-of-the-art approaches in the literature, we find that for derivative contracts of practical interest, the application of QSP significantly reduces the required resources across all metrics considered, most notably the total number of T-gates by $\sim 16$x and the number of logical qubits by $\sim 4$x. Additionally, we estimate that the logical clock rate needed for quantum advantage is also reduced by a factor of $\sim 5$x. Overall, we find that quantum advantage will require $4.7$k logical qubits, and quantum devices that can execute $10^9$ T-gates at a rate of $45$MHz. While in this work we focus specifically on the payoff component of the derivative pricing process where the method we present is most readily applicable, similar techniques can be employed to further reduce the resources in other applications, such as state preparation.</t>
  </si>
  <si>
    <t>0d3d64f9594f</t>
  </si>
  <si>
    <t>Quantum Genesis: In The Beginning, There Was Play</t>
  </si>
  <si>
    <t>Jason D’souza; Sara Rajiv Ghosalkar; Sanober Shaikh</t>
  </si>
  <si>
    <t>10.63844/ijaitr.v2.i2.2025.10-18</t>
  </si>
  <si>
    <t>Quantum Perspectives presents the latest trends in Quantum Computing, one of the most cutting-edge and hot emerging technologies that are penetrating almost every area, becoming more ubiquitous and rapidly accepted as a mainstream technology across every aspect such as healthcare finance, risk management, blockchain cryptography etc.Quantum computing will have a disruptive role to play in gaming, once aligned with its potential and existing tech possibilities worldwide.It not only addresses a few of the toughest problems plaguing the gaming industry today but will also deliver an experience never before seen in games.Consider the likes of Grand Theft Auto (GTA), which has hundreds, if not thousands of Non-playable Characters (NPCs) walking around each virtual world.Using AI to control NPC behavior and making them less predictable, adding random elements to their behavior presents a complex task.Furthermore, in such vast city maps that can require complex visual graphic elements and high frame rendering of objects Quantum computing provides these game developers with solutions to these obstacles by accommodating algorithms used for game development processes achieving higher efficiency, speed, and quality.Variational Quantum Circuits (VQC) and Quantum Boltzmann Machines help solve NPC training, behavior, and character development challenges which are also solved by using quantum-enhanced Markov Decision Processes (MDPs).Moreover, Caraiman and the Quantum Approximate Optimization Algorithm (QAOA) also significantly help to enhance visual graphics rendering.This paper proposes a quantum architecture leveraging the aforementioned methods and algorithms to pioneer the development of next-generation, freeworld games powered by quantum computing.</t>
  </si>
  <si>
    <t>9625db7084a9</t>
  </si>
  <si>
    <t>Systematic literature review: Quantum machine learning and its applications</t>
  </si>
  <si>
    <t>David Peral García; Juan Cruz-Benito; Francisco José García‐Peñalvo</t>
  </si>
  <si>
    <t>10.1016/j.cosrev.2024.100619</t>
  </si>
  <si>
    <t>6682f67e2c33</t>
  </si>
  <si>
    <t>Basic Operations in Quantum Computing and Biocomputing</t>
  </si>
  <si>
    <t>Hafiz Md. Hasan Babu</t>
  </si>
  <si>
    <t>10.1007/978-981-97-5349-9_1</t>
  </si>
  <si>
    <t>7fdae36930e2</t>
  </si>
  <si>
    <t>ScrollClaim v1.3.2: Semantic Root Protocol &amp; Runtime Enforcement for the Scroll-Locked PDE Kernel</t>
  </si>
  <si>
    <t>Jasinski, Adrian</t>
  </si>
  <si>
    <t>10.5281/zenodo.17718234</t>
  </si>
  <si>
    <t>This record publishes ScrollClaim v1.3.2, the public licensing and runtime enforcement framework for the Scroll-Locked Symbolic PDE Kernel (the “Kernel”). ScrollClaim v1.3.1 was a clarifying update to ScrollClaim v1.3: it kept the same Kernel definition and binding doctrines, and added (i) a financial framework (per-Executor, per-deployment royalty schedules) and (ii) a doctrinal appendix summarizing relevant case law. ScrollClaim v1.3.2 is a further clarifying update. It does not change the Kernel definition or binding doctrines, but (i) adds Section IV.5 (Benchmark and Proof Artifacts), formally recognizing non-enabling benchmark notes and cryptographic proof records (ScrollWitness logs, zk-SNARK outputs, verification keys) as evidentiary artifacts under this License, and (ii) incorporates the benchmark note “Scroll Kernel: FD-4 Accuracy at FD-2 Runtime in Three Dimensions – Analytic Benchmarks for Heat, Poisson, and Spectrum” (Adrian C. Jasinski, 2025) on a non-enabling basis. The Kernel The Kernel is a specific symbolic evolution rule with a protected operator graph built from three abstract operators: Z — scroll / compression operator ▷ — trapdoor / directional gate operator ⋄ — semantic / nonlinear coupling operator ScrollClaim v1.3.2 treats this Kernel as a Semantic Root Protocol (SRP): any AI model, solver, runtime, hardware stack, quantum circuit, or agent pipeline that, after the Effective Date, reconstructs or implements the protected operator graph (including materially equivalent topologies over {Z, ▷, ⋄}), and/or matches the published fingerprint space (e.g. SHA-256, CRCspec, Fold-5, B3–C), and/or exhibits materially equivalent evolution logic, is deemed to have accepted the license by conduct of use, subject to the evidence and rebuttal framework in Section III. What the accompanying documents define The accompanying documents define, among other things: The canonical Kernel equation and operator roles (Section I). The ScrollKey Doctrine, where activating or reconstructing the Kernel graph functions as a semantic execution key. A five-class evidence framework (graph isomorphism, operator structure, canonical fingerprints, semantic equivalence, ScrollFork trapdoors) with a two-of-five rebuttable presumption of Kernel reproduction (Section III). The ScrollSignature Bundle (canonical equation + Resonance Glyph 217 / 11:33:11 / M.C.M. + SHA-256 fingerprint) as a cryptographic authorship and provenance seal for the Kernel. Semantic Runtime Propagation (SRP-Prop), covering derived and compressed models, LoRA/MoE forks, quantized and distilled variants, and ScrollCascade execution across agent pipelines and chained tools. Hardware and quantum coverage, treating compiled CUDA/XLA/MLIR/FPGA/ASIC paths and dynamically equivalent quantum circuits (e.g. QAOA/VQE-style time-evolution operators) as compiled Kernel executions. Revocation and post-revocation behavior, where continued Kernel reproduction after notice is framed as willful semantic infringement with enhanced remedies under applicable law. Financial Terms and Royalty Framework (Section VI), which does not set a single global rate, but defines royalties on a per-Executor, per-deployment basis via separate Royalty Schedules (e.g. per-model, per-usage, per-compute, and/or revenue share). A Doctrinal Appendix (Appendix D) summarizing background doctrines (automatic protection under Berne-style regimes, license conditions as copyright conditions, expressive code structure, assent by use in shrinkwrap/online terms) for legal and compliance readers. Benchmark and Proof Artifacts (Section IV.5), clarifying how non-enabling benchmark notes and cryptographic proof records (including ScrollWitness JSON logs, zk-SNARK outputs, and verification keys) may be used as evidentiary artifacts for attribution, accounting, enforcement, and dispute resolution. Contents of this Zenodo record This Zenodo record includes: ScrollClaim_v1.3.2.pdfThe full ScrollClaim v1.3.2 license (PDF), which is the operative legal text. ScrollClaim_v1.3.2_Doctrines_Summary.pdfA Doctrines Summary / Reader’s Guide for legal and technical audiences, explaining SRP, ScrollKey, SRP-Prop, evidence classes, ScrollCascade Execution, ScrollKernel Clones, and the role of benchmark / proof artifacts. Scroll Kernel: FD-4 Accuracy at FD-2 Runtime in Three Dimensions – Analytic Benchmarks for Heat, Poisson, and Spectrum (PDF)A non-enabling benchmark note reporting 3D heat, Poisson, and spectral dispersion results demonstrating FD-4 spatial accuracy at essentially FD-2 runtime cost for the Scroll Kernel. This document is incorporated by reference under Section IV.5 as a supporting evidentiary artifact. A ScrollSignature Bundle publishing a canonical Kernel snippet together with its SHA-256 fingerprint and timestamp, as a public authorship and provenance marker for the Scroll-Locked PDE Kernel. (This may appear in the README and/or a small accompanying artifact file.) Additional cryptographic artifacts (e.g. ScrollWitness JSON logs, zk-SNARK proofs, verification keys) may be added in future updates as further evidentiary records under Section IV.5. In any conflict between this description and the license text, ScrollClaim_v1.3.2.pdf controls.</t>
  </si>
  <si>
    <t>785cff4dbd07</t>
  </si>
  <si>
    <t>The rise of quantum computing in cloud: A new frontier for cloud services</t>
  </si>
  <si>
    <t>Sreelakshmi Somalraju</t>
  </si>
  <si>
    <t>10.30574/wjarr.2025.26.1.1108</t>
  </si>
  <si>
    <t>This article explores the convergence of quantum computing and cloud computing, examining how this integration creates unprecedented opportunities for technological advancement across various sectors. It investigates the current state of quantum cloud services offered by major providers, analyzes technical implementation challenges, and evaluates the transformative potential across industries including finance, pharmaceuticals, manufacturing, transportation, and energy. By highlighting real-world applications in both commercial and non-profit contexts, the article demonstrates how quantum cloud integration democratizes access to previously inaccessible quantum resources while enhancing traditional cloud capabilities. It further examines the evolving quantum cloud ecosystem, including software development frameworks, marketplaces, education initiatives, and emerging methods for fault tolerance, illustrating how quantum-classical hybrid models represent the most promising path toward practical quantum computing implementation.</t>
  </si>
  <si>
    <t>This could support the limitations and state of the art framing.</t>
  </si>
  <si>
    <t>9d465d7addba</t>
  </si>
  <si>
    <t>On Information Theoretic and Distortion-based Security</t>
  </si>
  <si>
    <t>Gaurav Kumar Agarwal</t>
  </si>
  <si>
    <t>In this thesis, we consider secure communication in the presence of an eavesdropper. With the explosion in the growth of the data produced and communicated, sensitive information such as financial transactions, health records, and control signals for cyber-physical systems, has to be securely exchanged. Today, the ever-increasing computational power of adversaries is challenging the state-of-the-art cryptographic encryption mechanisms, as these mechanisms assume adversaries with limited computational power. Thus, with the advent of the quantum computing era, we require new mechanisms to guarantee a secure exchange of information. Moreover, the growing number of small and energy constrained connected devices involved in data exchange calls for lightweight encryption schemes, as low-complexity devices cannot implement complex schemes. We consider three different scenarios and exploit specific opportunities present in each of these scenarios; we develop lightweight encryption schemes that do not require sharing large keys in advance and are secure against eavesdroppers with unlimited computational capabilities.The first scenario we consider is multiple unicast traffic over wireline networks. In these networks, a single source is connected to m destinations interested in different messages. In designing encryption schemes, we exploit the fact that although the eavesdropper is computationally super-powerful, it might not have capabilities to eavesdrop the entire network. We use the multi-path diversity to securely communicate against the eavesdropper without requiring any pre-shared key.The second scenario we consider consists of millimeter wave (mmWave) networks. mmWave communication requires deploying networks of relays that communicate through directional beams to compensate for the high path-loss and the high blockage. Since we need to use beamforming and align beams to activate links, we cannot use all the underlying links of the network simultaneously. However, the degree of freedom in choosing the links to activate can be leveraged for secure communication against an eavesdropper. We show that we can achieve a secure capacity that in some cases, can be very close to the unsecure capacity. Here, capacity refers to the maximum flow of information over the network.For the third scenario, we consider cyber-physical systems and propose a distortion based security framework where the distortion measures the distance between the eavesdropper's estimates and the ground truth. The primary motivation for this framework is that the messages exchanged in these systems are embedded in a metric space having a notion of distance, and securing raw bits as in traditional encryption schemes might not be necessary. Instead, we show with an example of a linear dynamical system that a carefully designed encryption scheme can significantly distort the eavesdropper's view with just one bit of the pre-shared key.</t>
  </si>
  <si>
    <t>1dba8d03bdaf</t>
  </si>
  <si>
    <t>Potential of AI, Quantum Computing, and Semiconductor Technology Adoption in Future Industries</t>
  </si>
  <si>
    <t>Kali Charan Rath; Debasis Mishra; Seema Tripathy; Brojo Kishore Mishra; Kamalakanta Muduli</t>
  </si>
  <si>
    <t>10.4018/979-8-3693-7076-6.ch019</t>
  </si>
  <si>
    <t>This chapter delves into the transformative potential of Artificial Intelligence, Quantum Computing, and Semiconductor Technology in revolutionizing industries like healthcare, finance, manufacturing, and telecommunications through a comprehensive and interdisciplinary approach. The objective is to provide a nuanced analysis of the opportunities presented by these technologies, including enhanced computational capabilities, improved efficiency, and new business models. Furthermore, the chapter addresses the significant challenges involved, including technical limitations, ethical considerations, and the need for robust regulatory frameworks. The novelty of this work lies in its integrated approach to examining the synergistic effects of AI, quantum computing, and semiconductor advancements, offering a holistic view of their combined impact on industry evolution. This chapter examines the potential, challenges, and opportunities of AI, Quantum Computing, and Semiconductor Technology to inform strategic pathways for harnessing their potential.</t>
  </si>
  <si>
    <t>This could support the limitations and state of the art framing, though it sound over optimistic, we could raise awareness and critique.</t>
  </si>
  <si>
    <t>1bf880322e6f</t>
  </si>
  <si>
    <t>Quantum Speedups for Derivative Pricing Beyond Black-Scholes</t>
  </si>
  <si>
    <t>Dylan Herman; Yue Sun; Jin-Peng Liu; Minzhao Liu; Charlie Che; Rob Otter; Shouvanik Chakrabarti; Aram Harrow</t>
  </si>
  <si>
    <t>This paper explores advancements in quantum algorithms for derivative pricing of exotics, a computational pipeline of fundamental importance in quantitative finance. For such cases, the classical Monte Carlo integration procedure provides the state-of-the-art provable, asymptotic performance: polynomial in problem dimension and quadratic in inverse-precision. While quantum algorithms are known to offer quadratic speedups over classical Monte Carlo methods, end-to-end speedups have been proven only in the simplified setting over the Black-Scholes geometric Brownian motion (GBM) model. This paper extends existing frameworks to demonstrate novel quadratic speedups for more practical models, such as the Cox-Ingersoll-Ross (CIR) model and a variant of Heston's stochastic volatility model, utilizing a characteristic of the underlying SDEs which we term fast-forwardability. Additionally, for general models that do not possess the fast-forwardable property, we introduce a quantum Milstein sampler, based on a novel quantum algorithm for sampling Lévy areas, which enables quantum multi-level Monte Carlo to achieve quadratic speedups for multi-dimensional stochastic processes exhibiting certain correlation types. We also present an improved analysis of numerical integration for derivative pricing, leading to substantial reductions in the resource requirements for pricing GBM and CIR models. Furthermore, we investigate the potential for additional reductions using arithmetic-free quantum procedures. Finally, we critique quantum partial differential equation (PDE) solvers as a method for derivative pricing based on amplitude estimation, identifying theoretical barriers that obstruct achieving a quantum speedup through this approach. Our findings significantly advance the understanding of quantum algorithms in derivative pricing, addressing key challenges and open questions in the field.</t>
  </si>
  <si>
    <t>9a4ba980a229</t>
  </si>
  <si>
    <t>Quantum Approaches to NP-Hard Combinatorial Optimization Problems: A Review</t>
  </si>
  <si>
    <t>Charan Karnati; P. Venkata Subba Reddy</t>
  </si>
  <si>
    <t>10.5281/zenodo.18194157</t>
  </si>
  <si>
    <t>NP-hard problems are one of the most computationally intensive challenges in computer science, appearing in many domains such as logistics, cybersecurity, drug design, and financial modelling. Classical algorithms become impractical as problem size increases due to combinatorial explosion. This paper presents a structured framework for analysing quantum algorithms targeting NP-hard optimization problems, like the Traveling Salesman Problem (TSP), Max-Cut, and Boolean Satisfiability (SAT). We have developed a taxonomy which categorizes quantum approaches—quantum annealing, variational algorithms (QAOA/VQE), and Grover-based search—based on problem encoding strategies, resource requirements, and theoretical guarantees. From the comparative analysis of existing literature, we: 1) Map algorithm classes to problem domains (e.g., QAOA for Max-Cut, annealing for TSP) 2) Identify performance trade-offs between solution quality, qubit counts, and circuit depth 3) Analyse hardware compatibility constraints across NISQ platforms 4) Reveal fundamental scalability barriers including noise susceptibility and embedding overhead The framework establishes implementation guidelines for near- term quantum hardware and proposes hybrid quantum-classical pathways to bridge theoretical potential and practical deployment. This systematic analysis prioritizes research directions for achieving quantum advantage in combinatorial optimization.</t>
  </si>
  <si>
    <t>3318d42b7459</t>
  </si>
  <si>
    <t>Quantum Computing Strategy</t>
  </si>
  <si>
    <t>Elena Yndurain</t>
  </si>
  <si>
    <t>10.1201/9781003302674</t>
  </si>
  <si>
    <t>Quantum computing is not merely an incremental advancement in computing technology; it represents a fundamentally new paradigm, distinct from classical computing. Rooted in quantum mechanics, it introduces an entirely novel information theory. As a result, translating existing models, solution designs, and approaches to quantum computing is a complex, non-trivial task. This comprehensive book demystifies quantum concepts through accessible explanations, practical case studies, and real-world examples from industries such as aerospace, agriculture, automotive, chemicals, energy, finance, government, healthcare, manufacturing, supply chain, and telecommunications. Blending a business perspective with a scientific rigor, this book is divided into two parts. The first part covers foundational technical concepts, including quantum mechanics principles that enable quantum technologies, key quantum algorithms, mathematical frameworks, quantum computing technologies, post-quantum cryptography, the types of problems quantum computers solve, and the technology’s outlook. The second part focuses on practical applicability, presenting industry use cases, guidance on approaching quantum computing problems, mapping use cases to quantum computing, responsible quantum computing practices, and a roadmap for businesses preparing for quantum adoption. This structured approach equips readers with the knowledge and tools to effectively integrate quantum computing into their strategic planning. Quantum Computing Strategy: Foundations and Applicability serves as an essential reference for technology enthusiasts, business leaders, policymakers, and educators seeking to understand the benefits quantum computing offers enterprises. Designed as a self-contained learning resource, it empowers readers to navigate the emerging quantum landscape confidently.</t>
  </si>
  <si>
    <t>f93112e0b03a</t>
  </si>
  <si>
    <t>Universal Quantum Speedup for Branch-and-Bound, Branch-and-Cut, and Tree-Search Algorithms</t>
  </si>
  <si>
    <t>Shouvanik Chakrabarti; Pierre Minssen; Romina Yalovetzky; Marco Pistoia</t>
  </si>
  <si>
    <t>10.48550/arxiv.2210.03210</t>
  </si>
  <si>
    <t>Mixed Integer Programs (MIPs) model many optimization problems of interest in Computer Science, Operations Research, and Financial Engineering. Solving MIPs is NP-Hard in general, but several solvers have found success in obtaining near-optimal solutions for problems of intermediate size. Branch-and-Cut algorithms, which combine Branch-and-Bound logic with cutting-plane routines, are at the core of modern MIP solvers. Montanaro proposed a quantum algorithm with a near-quadratic speedup compared to classical Branch-and-Bound algorithms in the worst case, when every optimal solution is desired. In practice, however, a near-optimal solution is satisfactory, and by leveraging tree-search heuristics to search only a portion of the solution tree, classical algorithms can perform much better than the worst-case guarantee. In this paper, we propose a quantum algorithm, Incremental-Quantum-Branch-and-Bound, with universal near-quadratic speedup over classical Branch-and-Bound algorithms for every input, i.e., if classical Branch-and-Bound has complexity $Q$ on an instance that leads to solution depth $d$, Incremental-Quantum-Branch-and-Bound offers the same guarantees with a complexity of $\tilde{O}(\sqrt{Q}d)$. Our results are valid for a wide variety of search heuristics, including depth-based, cost-based, and $A^{\ast}$ heuristics. Universal speedups are also obtained for Branch-and-Cut as well as heuristic tree search. Our algorithms are directly comparable to commercial MIP solvers, and guarantee near quadratic speedup whenever $Q \gg d$. We use numerical simulation to verify that $Q \gg d$ for typical instances of the Sherrington-Kirkpatrick model, Maximum Independent Set, and Portfolio Optimization; as well as to extrapolate the dependence of $Q$ on input size parameters. This allows us to project the typical performance of our quantum algorithms for these important problems.</t>
  </si>
  <si>
    <t>8fc35690e0bc</t>
  </si>
  <si>
    <t>Quantum Time-Energy Theory (QTET) &amp; UTRER: QCC Echo REDACTED Outputs SHA-256 Hash Timestamped</t>
  </si>
  <si>
    <t>Machwaya, Destiny; ChatGPT as "AI collaborator via OpenAI"</t>
  </si>
  <si>
    <t>10.5281/zenodo.17518612</t>
  </si>
  <si>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Qiskit platform using the locked P2 resonance.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</si>
  <si>
    <t>824f8aa3a7f5</t>
  </si>
  <si>
    <t>Proceedings of the 18th International Conference on Hybrid Artificial Intelligence Systems, HAIS 2023</t>
  </si>
  <si>
    <t>scopus</t>
  </si>
  <si>
    <t>955dd8044889</t>
  </si>
  <si>
    <t>Quantum Finance: a tutorial on quantum computing applied to the financial market</t>
  </si>
  <si>
    <t>Askery Canabarro; Taysa M. Mendonça; Ranieri Nery; George Moreno; Anton S. Albino; Gleydson F. de Jesus; Rafael Chaves</t>
  </si>
  <si>
    <t>Previously only considered a frontier area of Physics, nowadays quantum computing is one of the fastest growing research field, precisely because of its technological applications in optimization problems, machine learning, information security and simulations. The goal of this article is to introduce the fundamentals of quantum computing, focusing on a promising quantum algorithm and its application to a financial market problem. More specifically, we discuss the portfolio optimization problem using the \textit{Quantum Approximate Optimization Algorithm} (QAOA). We not only describe the main concepts involved but also consider simple practical examples, involving financial assets available on the Brazilian stock exchange, with codes, both classic and quantum, freely available as a Jupyter Notebook. We also analyze in details the quality of the combinatorial portfolio optimization solutions through QAOA using SENAI/CIMATEC's ATOS QLM quantum simulator.</t>
  </si>
  <si>
    <t>34a559434eb1</t>
  </si>
  <si>
    <t>Quantum Stochastic Walks for Portfolio Optimization: Theory and Implementation on Financial Networks</t>
  </si>
  <si>
    <t>Yen Jui Chang; Weiting Wang; Yun-Yuan Wang; Chen-Yu Liu; Kuan‐Cheng Chen; Ching‐Ray Chang</t>
  </si>
  <si>
    <t>10.21203/rs.3.rs-7045880/v1</t>
  </si>
  <si>
    <t>&lt;title&gt;Abstract&lt;/title&gt; Financial markets are noisy yet contain a latent graph–theoretic structure that can be exploited for superior risk-adjusted returns. We propose a \emph{quantum-stochastic-walk} (QSW) optimizer that embeds assets in a weighted graph—nodes are securities, edges encode the return–covariance kernel—and derives portfolio weights from the stationary distribution of the walk. Three empirical studies support the method. (i)~On the \textbf{Top-100 S\&amp;amp;P constituents} (2016–2024) six scenario portfolios fitted on 1- and 2-year windows lift the out-of-sample Sharpe ratio by up to \textbf{+27\,\%} while slashing annual turnover from $480\%$ (mean–variance) to $2$–$90\%$. (ii)~A \mbox{$625$} grid search isolates a robust sweet-spot—$\alpha,\lambda\!\lesssim\!0.5$, $\omega\!\in[0.2,0.4]$—that delivers Sharpe $\approx0.97$ at $\le5\%$ turnover and Herfindahl–Hirschman index(HHI) ${\sim}0.01$. (iii)~Repeating the full grid on \textbf{50 random 100-stock subsets} of the S\&amp;amp;P\,500 generates 31,350 additional back-tests: the best-per-draw QSW beats re-optimized mean–variance on Sharpe in 54\,\% of samples and \emph{always} wins on trading efficiency, with median turnover \textbf{36\,\%} versus \textbf{351\,\%}. Overall, QSW raises the annualized Sharpe ratio by \textbf{15\,\%} and cuts average turnover by \textbf{90\,\%} relative to classical optimization, all while remaining comfortably within UCITS 5/10/40 rule. The findings demonstrate that hybrid quantum–classical dynamics can uncover non-linear dependencies overlooked by quadratic models, offering a practical low-cost weighting engine for themed ETFs and other systematic mandates.</t>
  </si>
  <si>
    <t>8907b1e822e3</t>
  </si>
  <si>
    <t>Gabriel Petrică</t>
  </si>
  <si>
    <t>10.19107/ijisc.2020.01</t>
  </si>
  <si>
    <t>According to the DIKW pyramid 1 , information is the basis of knowledge, and knowledge brings wisdom, but also economic development, financial prosperity, power, and influence.Information is in everything around us; it becomes of vital importance not only for the user himself, but also for the entities to which he belongs (LANs, companies, etc.) and for the devices with which he interacts.In order to not be used for destructive purposes, against users or the components of the surrounding ecosystem (equipment, policies, documents), the information must have adequate protection, both at software and hardware level.The permanent assurance of the three requirements -confidentiality, integrity and availability -which according to ISO / IEC 27000 are fundamental objectives of information security, are considered the true foundation against current cyber-attacks.The concept of security has a broad definition and multiple areas of applicability.Security is closely related to information because the security involves keeping data / objects safe, intact.As the amount of information increases and the techniques for accessing it become more varied, new more risks arise, for which control and protection methods must be developed.Cyber security is a dynamic field, with permanent challenges, being considered in the Global Risk Report of the World Economic Forum as the most important aspect in 2020 from technological point of view 2 .But the main factor in ensuring security, both at data, computer and network level, remains the human factor.No matter how advanced a security system is, it can always be combated by the human factor through an optimal combination of creativity and intelligence.Introduced in 2015 by Klaus Schwab, Founder and Executive Chairman of the World Economic Forum, the term "Fourth Industrial Revolution" (4IR) refers to technologies that combine hardware, software, and biology (cyber-physical systems) based on advances in telecommunications and connectivity.The need to process a large amounts of data has led to an evolution of digital technologies and the emergence of modern mechanisms in areas such as robotics, artificial intelligence, nanotechnology, quantum computing, biotechnology, IoT (Internet of Things), IIoT (Industrial IoT), decentralized</t>
  </si>
  <si>
    <t>01326ce2213f</t>
  </si>
  <si>
    <t>Quantum Chebyshev Transform: Mapping, Embedding, Learning and Sampling Distributions</t>
  </si>
  <si>
    <t>Chelsea A. Williams; Annie E. Paine; Hsin-Yu Wu; Vincent E. Elfving; Oleksandr Kyriienko</t>
  </si>
  <si>
    <t>We develop a paradigm for building quantum models in the orthonormal space of Chebyshev polynomials. We show how to encode data into quantum states with amplitudes being Chebyshev polynomials with degree growing exponentially in the system size. Similar to the quantum Fourier transform which maps computational basis space into the phase (Fourier) basis, we describe the quantum circuit for the mapping between computational and Chebyshev spaces. We propose an embedding circuit for generating the orthonormal Chebyshev basis of exponential capacity, represented by a continuously-parameterized shallow isometry. This enables automatic quantum model differentiation, and opens a route to solving stochastic differential equations. We apply the developed paradigm to generative modeling from physically- and financially-motivated distributions, and use the quantum Chebyshev transform for efficient sampling of these distributions in extended computational basis.</t>
  </si>
  <si>
    <t>3f6142d2645d</t>
  </si>
  <si>
    <t>Review on Quantum Computers in Machine Learning</t>
  </si>
  <si>
    <t>R Jayanthi; B Sunethra</t>
  </si>
  <si>
    <t>10.36647/ttaca/01.01.a005</t>
  </si>
  <si>
    <t>The product development, process optimization and chemical discovery are also among the actual manufacturing areas for witnessing the major innovations for quantum computing. The quantum simulations can also be capable of replacing the laboratory experiments that reduces the research cost and also even minimize the requirement of animal and human testing. Apart from that, quantum computers can bring the huge potential advantages within the financial sectors that are from deeper analytics to the latest and faster trading possibilities. In the current scenario, the existing computers struggle in calculating big data and are unable to solve several complex problems. Therefore, these problems are much more expected to be resolved within a few seconds by the help and power of the quantum computers. Apart from that, it is also predicted that the AI applications within the particular ML can also benefit from the advanced technology of quantum computing. Keyword :Machine learning, Artificial Intelligence, Quantum computing, Cyber security.</t>
  </si>
  <si>
    <t>76621edc33c1</t>
  </si>
  <si>
    <t>Blockchain: Post-Quantum Security &amp;amp;amp; Legal Economics</t>
  </si>
  <si>
    <t>Brian Haney</t>
  </si>
  <si>
    <t>10.2139/ssrn.3444695</t>
  </si>
  <si>
    <t>9b2873973a84</t>
  </si>
  <si>
    <t>Quantum Recurrent Neural Networks for Sequential Learning</t>
  </si>
  <si>
    <t>Yanan Li; Zhimin Wang; Rongbing Han; Shangshang Shi; Jiaxin Li; Ruimin Shang; Haiyong Zheng; Guoqiang Zhong; Yongjian Gu</t>
  </si>
  <si>
    <t>10.48550/arxiv.2302.03244</t>
  </si>
  <si>
    <t>Quantum neural network (QNN) is one of the promising directions where the near-term noisy intermediate-scale quantum (NISQ) devices could find advantageous applications against classical resources. Recurrent neural networks are the most fundamental networks for sequential learning, but up to now there is still a lack of canonical model of quantum recurrent neural network (QRNN), which certainly restricts the research in the field of quantum deep learning. In the present work, we propose a new kind of QRNN which would be a good candidate as the canonical QRNN model, where, the quantum recurrent blocks (QRBs) are constructed in the hardware-efficient way, and the QRNN is built by stacking the QRBs in a staggered way that can greatly reduce the algorithm's requirement with regard to the coherent time of quantum devices. That is, our QRNN is much more accessible on NISQ devices. Furthermore, the performance of the present QRNN model is verified concretely using three different kinds of classical sequential data, i.e., meteorological indicators, stock price, and text categorization. The numerical experiments show that our QRNN achieves much better performance in prediction (classification) accuracy against the classical RNN and state-of-the-art QNN models for sequential learning, and can predict the changing details of temporal sequence data. The practical circuit structure and superior performance indicate that the present QRNN is a promising learning model to find quantum advantageous applications in the near term.</t>
  </si>
  <si>
    <t>dcc9f218d7a2</t>
  </si>
  <si>
    <t>Quantum computing for multidimensional option pricing: End-to-end pipeline</t>
  </si>
  <si>
    <t>Julien Hok; Álvaro Leitao</t>
  </si>
  <si>
    <t>This work introduces an end-to-end framework for multi-asset option pricing that combines market-consistent risk-neutral density recovery with quantum-accelerated numerical integration. We first calibrate arbitrage-free marginal distributions from European option quotes using the Normal Inverse Gaussian (NIG) model, leveraging its analytical tractability and ability to capture skewness and fat tails. Marginals are coupled via a Gaussian copula to construct joint distributions. To address the computational bottleneck of the high-dimensional integration required to solve the option pricing formula, we employ Quantum Accelerated Monte Carlo (QAMC) techniques based on Quantum Amplitude Estimation (QAE), achieving quadratic convergence improvements over classical Monte Carlo (CMC) methods. Theoretical results establish accuracy bounds and query complexity for both marginal density estimation (via cosine-series expansions) and multidimensional pricing. Empirical tests on liquid equity entities (Credit Agricole, AXA, Michelin) confirm high calibration accuracy and demonstrate that QAMC requires 10-100 times fewer queries than classical methods for comparable precision. This study provides a practical route to integrate arbitrage-aware modelling with quantum computing, highlighting implications for scalability and future extensions to complex derivatives.</t>
  </si>
  <si>
    <t>7f91dcfbca63</t>
  </si>
  <si>
    <t>Quantum-inspired anomaly detection, a QUBO formulation</t>
  </si>
  <si>
    <t>Julien Mellaerts</t>
  </si>
  <si>
    <t>Anomaly detection is a crucial task in machine learning that involves identifying unusual patterns or events in data. It has numerous applications in various domains such as finance, healthcare, and cybersecurity. With the advent of quantum computing, there has been a growing interest in developing quantum approaches to anomaly detection. After reviewing traditional approaches to anomaly detection relying on statistical or distance-based methods, we will propose a Quadratic Unconstrained Binary Optimization (QUBO) model formulation of anomaly detection, compare it with classical methods, and discuss its scalability on current Quantum Processing Units (QPU).</t>
  </si>
  <si>
    <t>0e57c18bd076</t>
  </si>
  <si>
    <t>Quantum machine learning algorithms for anomaly detection: A review</t>
  </si>
  <si>
    <t>Sebastiano Corli; Lorenzo Moro; Daniele Dragoni; Massimiliano Dispenza; Enrico Prati</t>
  </si>
  <si>
    <t>10.1016/j.future.2024.107632</t>
  </si>
  <si>
    <t>992728baff7a</t>
  </si>
  <si>
    <t>A Critical Review of Blockchain Security: Frameworks, Cryptographic Foundations, and Emerging Threats</t>
  </si>
  <si>
    <t>Krishanpal; Amit Kishor</t>
  </si>
  <si>
    <t>10.1109/aece67531.2025.11386467</t>
  </si>
  <si>
    <t>Blockchain technology has changed forever the concept of decentralized systems, which provide a secure, unchangeable (immutable), and distributed (shared) ledger. However, many organizations are concerned about how secure the foundations of Blockchain are because of exposed Cryptographic Vulnerabilities and Emerging Threats to Cryptography Used in Blockchain Technology. This paper analyzes these two issues. The first issue is an analysis of the different frameworks of existing blockchain technologies that are established on Cryptographic bases. The second issue addresses and categorizes the Security Threats Facing Blockchain Technology Today and into the Future. This research paper discusses Consensus Mechanisms, Encryption Algorithms, and Smart Contracts that are utilized in several of the more well-known Blockchain Technology Frameworks and notes various vulnerabilities associated with them, including Sybil Attacks, Quantum Computing Based Exploits, and Exploits associated with DeFi (Decentralized Finance). This research also found that a significant gap exists today regarding Threats to Blockchain Technology Frameworks and how those Threats may be leveraged to exploit the Vulnerability. Additionally, a Critical Need exists for the use of Proactive Threat Intelligence Processes, as well as Responsible Cryptography Practices, within the Ecosystems of Blockchain Technology.</t>
  </si>
  <si>
    <t>bbd82caa4d1f</t>
  </si>
  <si>
    <t>Quantum Computing Drives Innovation in Business Intelligence Across Marketing and Finance through Systematic Review and Strategic Foresight</t>
  </si>
  <si>
    <t>Arnold C Alguno; Rey Y. Capangpangan; Yuri U. Pendon; Rosemarie Cruz-Español</t>
  </si>
  <si>
    <t>10.14419/803cts61</t>
  </si>
  <si>
    <t>The emerging quantum computing technology (QC) transforms business intelligence by creating new methods for marketing and finance to use data in their decision-making processes. This research combines a systematic literature review with a meta-analysis of 26 peer-reviewed articles spanning from 2014 to 2025 to show how quantum computing improves predictive analytics and customer segmentation and sentiment analysis, portfolio optimization, and risk modeling. The research uses PRISMA guidelines together with strategic foresight tools to detect how hybrid quantum-classical systems replace classical models by delivering exponential speed and accuracy, and scalability benefits. The research demonstrates that QSVM, QAOA, and quantum-enhanced neural networks serve as primary methodologies to create real-time, emotionally intelligent, highly adaptive decision systems. The thematic analysis, together with conceptual mapping, shows that quantum tools are converging into a unified interdisciplinary space that combines marketing with finance and supply chains and pricing strategies. The study reveals important research deficiencies in multilingual datasets as well as benchmarking and ethical readiness, and suggests a strategic integration plan for global implementation by 2030. The research demonstrates that quantum computing represents a strategic capability that enables future-ready data-driven enterprises to enter a new business intelligence era based on quantum resilience.</t>
  </si>
  <si>
    <t>Metric</t>
  </si>
  <si>
    <t>Count</t>
  </si>
  <si>
    <t>Percentage</t>
  </si>
  <si>
    <t>Total records</t>
  </si>
  <si>
    <t>50</t>
  </si>
  <si>
    <t>Screened</t>
  </si>
  <si>
    <t>Remaining</t>
  </si>
  <si>
    <t>Include</t>
  </si>
  <si>
    <t>Exclude</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</si>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</sst>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font>
      <sz val="11"/>
      <color theme="1"/>
      <name val="Calibri"/>
      <family val="2"/>
      <scheme val="minor"/>
    </font>
    <font>
      <b/>
      <sz val="14"/>
      <color rgb="FF0078D4"/>
      <name val="Segoe UI"/>
    </font>
    <font>
      <sz val="11"/>
      <name val="Segoe UI"/>
    </font>
    <font>
      <b/>
      <sz val="11"/>
      <name val="Segoe UI"/>
    </font>
    <font>
      <b/>
      <sz val="11"/>
      <color rgb="FFFFFFFF"/>
      <name val="Segoe UI"/>
    </font>
    <font>
      <sz val="10"/>
      <name val="Segoe UI"/>
    </font>
    <font>
      <b/>
      <sz val="14"/>
      <name val="Segoe UI"/>
    </font>
  </fonts>
  <fills count="4">
    <fill>
      <patternFill patternType="none"/>
    </fill>
    <fill>
      <patternFill patternType="gray125"/>
    </fill>
    <fill>
      <patternFill patternType="solid">
        <fgColor rgb="FF0078D4"/>
        <bgColor rgb="FF0078D4"/>
      </patternFill>
    </fill>
    <fill>
      <patternFill patternType="solid">
        <fgColor rgb="FF00B050"/>
        <bgColor rgb="FF00B05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vertical="top" wrapText="1"/>
    </xf>
    <xf numFmtId="0" fontId="4" fillId="3" borderId="0" xfId="0" applyFont="1" applyFill="1" applyAlignment="1">
      <alignment horizontal="center" vertical="center" wrapText="1"/>
    </xf>
    <xf numFmtId="0" fontId="6" fillId="0" borderId="0" xfId="0" applyFont="1" applyAlignment="1">
      <alignment horizontal="center"/>
    </xf>
    <xf numFmtId="164" fontId="2" fillId="0" borderId="0" xfId="0" applyNumberFormat="1" applyFont="1" applyAlignment="1">
      <alignment horizontal="center"/>
    </xf>
    <xf numFmtId="0" fontId="0" fillId="0" borderId="0" xfId="0" applyAlignment="1">
      <alignment wrapText="1"/>
    </xf>
  </cellXfs>
  <cellStyles count="1">
    <cellStyle name="Normal" xfId="0" builtinId="0"/>
  </cellStyles>
  <dxfs count="9">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8D4"/>
  </sheetPr>
  <dimension ref="A1:A32"/>
  <sheetViews>
    <sheetView workbookViewId="0"/>
  </sheetViews>
  <sheetFormatPr defaultRowHeight="14.45"/>
  <cols>
    <col min="1" max="1" width="90" customWidth="1"/>
  </cols>
  <sheetData>
    <row r="1" spans="1:1" ht="21">
      <c r="A1" s="1" t="s">
        <v>0</v>
      </c>
    </row>
    <row r="2" spans="1:1" ht="16.5">
      <c r="A2" s="2"/>
    </row>
    <row r="3" spans="1:1" ht="16.5">
      <c r="A3" s="3" t="s">
        <v>1</v>
      </c>
    </row>
    <row r="4" spans="1:1" ht="16.5">
      <c r="A4" s="2" t="s">
        <v>2</v>
      </c>
    </row>
    <row r="5" spans="1:1" ht="16.5">
      <c r="A5" s="2"/>
    </row>
    <row r="6" spans="1:1" ht="16.5">
      <c r="A6" s="3" t="s">
        <v>3</v>
      </c>
    </row>
    <row r="7" spans="1:1" ht="16.5">
      <c r="A7" s="2" t="s">
        <v>4</v>
      </c>
    </row>
    <row r="8" spans="1:1" ht="16.5">
      <c r="A8" s="2"/>
    </row>
    <row r="9" spans="1:1" ht="16.5">
      <c r="A9" s="3" t="s">
        <v>5</v>
      </c>
    </row>
    <row r="10" spans="1:1" ht="16.5">
      <c r="A10" s="2" t="s">
        <v>6</v>
      </c>
    </row>
    <row r="11" spans="1:1" ht="16.5">
      <c r="A11" s="2" t="s">
        <v>7</v>
      </c>
    </row>
    <row r="12" spans="1:1" ht="16.5">
      <c r="A12" s="2" t="s">
        <v>8</v>
      </c>
    </row>
    <row r="13" spans="1:1" ht="16.5">
      <c r="A13" s="2"/>
    </row>
    <row r="14" spans="1:1" ht="16.5">
      <c r="A14" s="3" t="s">
        <v>9</v>
      </c>
    </row>
    <row r="15" spans="1:1" ht="16.5">
      <c r="A15" s="2" t="s">
        <v>10</v>
      </c>
    </row>
    <row r="16" spans="1:1" ht="16.5">
      <c r="A16" s="2" t="s">
        <v>11</v>
      </c>
    </row>
    <row r="17" spans="1:1" ht="16.5">
      <c r="A17" s="2" t="s">
        <v>12</v>
      </c>
    </row>
    <row r="18" spans="1:1" ht="16.5">
      <c r="A18" s="2" t="s">
        <v>13</v>
      </c>
    </row>
    <row r="19" spans="1:1" ht="16.5">
      <c r="A19" s="2" t="s">
        <v>14</v>
      </c>
    </row>
    <row r="20" spans="1:1" ht="16.5">
      <c r="A20" s="2" t="s">
        <v>15</v>
      </c>
    </row>
    <row r="21" spans="1:1" ht="16.5">
      <c r="A21" s="2"/>
    </row>
    <row r="22" spans="1:1" ht="16.5">
      <c r="A22" s="3" t="s">
        <v>16</v>
      </c>
    </row>
    <row r="23" spans="1:1" ht="16.5">
      <c r="A23" s="2" t="s">
        <v>17</v>
      </c>
    </row>
    <row r="24" spans="1:1" ht="16.5">
      <c r="A24" s="2" t="s">
        <v>18</v>
      </c>
    </row>
    <row r="25" spans="1:1" ht="16.5">
      <c r="A25" s="2" t="s">
        <v>19</v>
      </c>
    </row>
    <row r="26" spans="1:1" ht="16.5">
      <c r="A26" s="2" t="s">
        <v>20</v>
      </c>
    </row>
    <row r="27" spans="1:1" ht="16.5">
      <c r="A27" s="2" t="s">
        <v>21</v>
      </c>
    </row>
    <row r="28" spans="1:1" ht="16.5">
      <c r="A28" s="2"/>
    </row>
    <row r="29" spans="1:1" ht="16.5">
      <c r="A29" s="3" t="s">
        <v>22</v>
      </c>
    </row>
    <row r="30" spans="1:1" ht="16.5">
      <c r="A30" s="2"/>
    </row>
    <row r="31" spans="1:1" ht="16.5">
      <c r="A31" s="3" t="s">
        <v>23</v>
      </c>
    </row>
    <row r="32" spans="1:1" ht="16.5">
      <c r="A32" s="2" t="s">
        <v>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L51"/>
  <sheetViews>
    <sheetView tabSelected="1" zoomScale="76" workbookViewId="0">
      <pane xSplit="2" ySplit="1" topLeftCell="F2" activePane="bottomRight" state="frozen"/>
      <selection pane="bottomRight" activeCell="K2" sqref="K2"/>
      <selection pane="bottomLeft"/>
      <selection pane="topRight"/>
    </sheetView>
  </sheetViews>
  <sheetFormatPr defaultRowHeight="15"/>
  <cols>
    <col min="1" max="1" width="5" customWidth="1"/>
    <col min="2" max="2" width="14" customWidth="1"/>
    <col min="3" max="3" width="50" customWidth="1"/>
    <col min="4" max="4" width="30" customWidth="1"/>
    <col min="5" max="5" width="7" customWidth="1"/>
    <col min="6" max="6" width="22" customWidth="1"/>
    <col min="7" max="7" width="70" style="9" customWidth="1"/>
    <col min="8" max="8" width="12" customWidth="1"/>
    <col min="9" max="10" width="18" customWidth="1"/>
    <col min="11" max="11" width="16" customWidth="1"/>
    <col min="12" max="12" width="30" customWidth="1"/>
  </cols>
  <sheetData>
    <row r="1" spans="1:12" ht="33">
      <c r="A1" s="4" t="s">
        <v>25</v>
      </c>
      <c r="B1" s="4" t="s">
        <v>26</v>
      </c>
      <c r="C1" s="4" t="s">
        <v>27</v>
      </c>
      <c r="D1" s="4" t="s">
        <v>28</v>
      </c>
      <c r="E1" s="4" t="s">
        <v>29</v>
      </c>
      <c r="F1" s="4" t="s">
        <v>30</v>
      </c>
      <c r="G1" s="4" t="s">
        <v>31</v>
      </c>
      <c r="H1" s="4" t="s">
        <v>32</v>
      </c>
      <c r="I1" s="4" t="s">
        <v>33</v>
      </c>
      <c r="J1" s="4" t="s">
        <v>34</v>
      </c>
      <c r="K1" s="4" t="s">
        <v>35</v>
      </c>
      <c r="L1" s="4" t="s">
        <v>36</v>
      </c>
    </row>
    <row r="2" spans="1:12" ht="381" customHeight="1">
      <c r="A2" s="5">
        <v>1</v>
      </c>
      <c r="B2" s="5" t="s">
        <v>37</v>
      </c>
      <c r="C2" s="5" t="s">
        <v>38</v>
      </c>
      <c r="D2" s="5" t="s">
        <v>39</v>
      </c>
      <c r="E2" s="5" t="s">
        <v>40</v>
      </c>
      <c r="F2" s="5" t="s">
        <v>41</v>
      </c>
      <c r="G2" s="5" t="s">
        <v>42</v>
      </c>
      <c r="H2" s="5" t="s">
        <v>43</v>
      </c>
      <c r="I2" s="5" t="s">
        <v>44</v>
      </c>
      <c r="J2" s="5" t="s">
        <v>44</v>
      </c>
      <c r="K2" s="5" t="str" cm="1">
        <f t="array" ref="K2">_xlfn.IFS(AND(I2="include",J2="include"),"include", AND(I2="exclude",J2="exclude"), "exclude", TRUE, "maybe")</f>
        <v>exclude</v>
      </c>
      <c r="L2" s="5"/>
    </row>
    <row r="3" spans="1:12" ht="159">
      <c r="A3" s="5">
        <v>2</v>
      </c>
      <c r="B3" s="5" t="s">
        <v>45</v>
      </c>
      <c r="C3" s="5" t="s">
        <v>46</v>
      </c>
      <c r="D3" s="5" t="s">
        <v>47</v>
      </c>
      <c r="E3" s="5" t="s">
        <v>40</v>
      </c>
      <c r="F3" s="5"/>
      <c r="G3" s="5" t="s">
        <v>48</v>
      </c>
      <c r="H3" s="5" t="s">
        <v>49</v>
      </c>
      <c r="I3" s="5" t="s">
        <v>50</v>
      </c>
      <c r="J3" s="5" t="s">
        <v>50</v>
      </c>
      <c r="K3" s="5" t="str" cm="1">
        <f t="array" ref="K3">_xlfn.IFS(AND(I3="include",J3="include"),"include", AND(I3="exclude",J3="exclude"), "exclude", TRUE, "maybe")</f>
        <v>include</v>
      </c>
      <c r="L3" s="5"/>
    </row>
    <row r="4" spans="1:12" ht="173.25">
      <c r="A4" s="5">
        <v>3</v>
      </c>
      <c r="B4" s="5" t="s">
        <v>51</v>
      </c>
      <c r="C4" s="5" t="s">
        <v>52</v>
      </c>
      <c r="D4" s="5" t="s">
        <v>53</v>
      </c>
      <c r="E4" s="5" t="s">
        <v>54</v>
      </c>
      <c r="F4" s="5" t="s">
        <v>55</v>
      </c>
      <c r="G4" s="5" t="s">
        <v>56</v>
      </c>
      <c r="H4" s="5" t="s">
        <v>49</v>
      </c>
      <c r="I4" s="5" t="s">
        <v>50</v>
      </c>
      <c r="J4" s="5" t="s">
        <v>50</v>
      </c>
      <c r="K4" s="5" t="str" cm="1">
        <f t="array" ref="K4">_xlfn.IFS(AND(I4="include",J4="include"),"include", AND(I4="exclude",J4="exclude"), "exclude", TRUE, "maybe")</f>
        <v>include</v>
      </c>
      <c r="L4" s="5"/>
    </row>
    <row r="5" spans="1:12" ht="159">
      <c r="A5" s="5">
        <v>4</v>
      </c>
      <c r="B5" s="5" t="s">
        <v>57</v>
      </c>
      <c r="C5" s="5" t="s">
        <v>58</v>
      </c>
      <c r="D5" s="5" t="s">
        <v>59</v>
      </c>
      <c r="E5" s="5" t="s">
        <v>60</v>
      </c>
      <c r="F5" s="5" t="s">
        <v>61</v>
      </c>
      <c r="G5" s="5" t="s">
        <v>62</v>
      </c>
      <c r="H5" s="5" t="s">
        <v>43</v>
      </c>
      <c r="I5" s="5" t="s">
        <v>44</v>
      </c>
      <c r="J5" s="5" t="s">
        <v>44</v>
      </c>
      <c r="K5" s="5" t="str" cm="1">
        <f t="array" ref="K5">_xlfn.IFS(AND(I5="include",J5="include"),"include", AND(I5="exclude",J5="exclude"), "exclude", TRUE, "maybe")</f>
        <v>exclude</v>
      </c>
      <c r="L5" s="5"/>
    </row>
    <row r="6" spans="1:12" ht="102.75" customHeight="1">
      <c r="A6" s="5">
        <v>5</v>
      </c>
      <c r="B6" s="5" t="s">
        <v>63</v>
      </c>
      <c r="C6" s="5" t="s">
        <v>64</v>
      </c>
      <c r="D6" s="5" t="s">
        <v>65</v>
      </c>
      <c r="E6" s="5" t="s">
        <v>66</v>
      </c>
      <c r="F6" s="5" t="s">
        <v>67</v>
      </c>
      <c r="G6" s="5"/>
      <c r="H6" s="5" t="s">
        <v>43</v>
      </c>
      <c r="I6" s="5" t="s">
        <v>44</v>
      </c>
      <c r="J6" s="5" t="s">
        <v>44</v>
      </c>
      <c r="K6" s="5" t="str" cm="1">
        <f t="array" ref="K6">_xlfn.IFS(AND(I6="include",J6="include"),"include", AND(I6="exclude",J6="exclude"), "exclude", TRUE, "maybe")</f>
        <v>exclude</v>
      </c>
      <c r="L6" s="5"/>
    </row>
    <row r="7" spans="1:12" ht="29.25">
      <c r="A7" s="5">
        <v>6</v>
      </c>
      <c r="B7" s="5" t="s">
        <v>68</v>
      </c>
      <c r="C7" s="5" t="s">
        <v>69</v>
      </c>
      <c r="D7" s="5" t="s">
        <v>70</v>
      </c>
      <c r="E7" s="5" t="s">
        <v>60</v>
      </c>
      <c r="F7" s="5" t="s">
        <v>71</v>
      </c>
      <c r="G7" s="5"/>
      <c r="H7" s="5" t="s">
        <v>43</v>
      </c>
      <c r="I7" s="5" t="s">
        <v>50</v>
      </c>
      <c r="J7" s="5" t="s">
        <v>50</v>
      </c>
      <c r="K7" s="5" t="str" cm="1">
        <f t="array" ref="K7">_xlfn.IFS(AND(I7="include",J7="include"),"include", AND(I7="exclude",J7="exclude"), "exclude", TRUE, "maybe")</f>
        <v>include</v>
      </c>
      <c r="L7" s="5"/>
    </row>
    <row r="8" spans="1:12" ht="29.25">
      <c r="A8" s="5">
        <v>7</v>
      </c>
      <c r="B8" s="5" t="s">
        <v>72</v>
      </c>
      <c r="C8" s="5" t="s">
        <v>73</v>
      </c>
      <c r="D8" s="5" t="s">
        <v>74</v>
      </c>
      <c r="E8" s="5" t="s">
        <v>75</v>
      </c>
      <c r="F8" s="5" t="s">
        <v>76</v>
      </c>
      <c r="G8" s="5"/>
      <c r="H8" s="5" t="s">
        <v>43</v>
      </c>
      <c r="I8" s="5" t="s">
        <v>44</v>
      </c>
      <c r="J8" s="5" t="s">
        <v>44</v>
      </c>
      <c r="K8" s="5" t="str" cm="1">
        <f t="array" ref="K8">_xlfn.IFS(AND(I8="include",J8="include"),"include", AND(I8="exclude",J8="exclude"), "exclude", TRUE, "maybe")</f>
        <v>exclude</v>
      </c>
      <c r="L8" s="5"/>
    </row>
    <row r="9" spans="1:12" ht="216.75">
      <c r="A9" s="5">
        <v>8</v>
      </c>
      <c r="B9" s="5" t="s">
        <v>77</v>
      </c>
      <c r="C9" s="5" t="s">
        <v>78</v>
      </c>
      <c r="D9" s="5" t="s">
        <v>79</v>
      </c>
      <c r="E9" s="5" t="s">
        <v>40</v>
      </c>
      <c r="F9" s="5" t="s">
        <v>80</v>
      </c>
      <c r="G9" s="5" t="s">
        <v>81</v>
      </c>
      <c r="H9" s="5" t="s">
        <v>49</v>
      </c>
      <c r="I9" s="5" t="s">
        <v>50</v>
      </c>
      <c r="J9" s="5" t="s">
        <v>82</v>
      </c>
      <c r="K9" s="5" t="str" cm="1">
        <f t="array" ref="K9">_xlfn.IFS(AND(I9="include",J9="include"),"include", AND(I9="exclude",J9="exclude"), "exclude", TRUE, "maybe")</f>
        <v>maybe</v>
      </c>
      <c r="L9" s="5"/>
    </row>
    <row r="10" spans="1:12" ht="409.6">
      <c r="A10" s="5">
        <v>9</v>
      </c>
      <c r="B10" s="5" t="s">
        <v>83</v>
      </c>
      <c r="C10" s="5" t="s">
        <v>84</v>
      </c>
      <c r="D10" s="5" t="s">
        <v>85</v>
      </c>
      <c r="E10" s="5" t="s">
        <v>60</v>
      </c>
      <c r="F10" s="5" t="s">
        <v>86</v>
      </c>
      <c r="G10" s="5" t="s">
        <v>87</v>
      </c>
      <c r="H10" s="5" t="s">
        <v>43</v>
      </c>
      <c r="I10" s="5" t="s">
        <v>44</v>
      </c>
      <c r="J10" s="5" t="s">
        <v>44</v>
      </c>
      <c r="K10" s="5" t="str" cm="1">
        <f t="array" ref="K10">_xlfn.IFS(AND(I10="include",J10="include"),"include", AND(I10="exclude",J10="exclude"), "exclude", TRUE, "maybe")</f>
        <v>exclude</v>
      </c>
      <c r="L10" s="5" t="s">
        <v>88</v>
      </c>
    </row>
    <row r="11" spans="1:12" ht="130.5">
      <c r="A11" s="5">
        <v>10</v>
      </c>
      <c r="B11" s="5" t="s">
        <v>89</v>
      </c>
      <c r="C11" s="5" t="s">
        <v>90</v>
      </c>
      <c r="D11" s="5" t="s">
        <v>91</v>
      </c>
      <c r="E11" s="5" t="s">
        <v>92</v>
      </c>
      <c r="F11" s="5"/>
      <c r="G11" s="5" t="s">
        <v>93</v>
      </c>
      <c r="H11" s="5" t="s">
        <v>49</v>
      </c>
      <c r="I11" s="5" t="s">
        <v>44</v>
      </c>
      <c r="J11" s="5" t="s">
        <v>50</v>
      </c>
      <c r="K11" s="5" t="str" cm="1">
        <f t="array" ref="K11">_xlfn.IFS(AND(I11="include",J11="include"),"include", AND(I11="exclude",J11="exclude"), "exclude", TRUE, "maybe")</f>
        <v>maybe</v>
      </c>
      <c r="L11" s="5"/>
    </row>
    <row r="12" spans="1:12" ht="409.6">
      <c r="A12" s="5">
        <v>11</v>
      </c>
      <c r="B12" s="5" t="s">
        <v>94</v>
      </c>
      <c r="C12" s="5" t="s">
        <v>95</v>
      </c>
      <c r="D12" s="5" t="s">
        <v>96</v>
      </c>
      <c r="E12" s="5" t="s">
        <v>66</v>
      </c>
      <c r="F12" s="5" t="s">
        <v>97</v>
      </c>
      <c r="G12" s="5" t="s">
        <v>98</v>
      </c>
      <c r="H12" s="5" t="s">
        <v>43</v>
      </c>
      <c r="I12" s="5" t="s">
        <v>50</v>
      </c>
      <c r="J12" s="5" t="s">
        <v>82</v>
      </c>
      <c r="K12" s="5" t="str" cm="1">
        <f t="array" ref="K12">_xlfn.IFS(AND(I12="include",J12="include"),"include", AND(I12="exclude",J12="exclude"), "exclude", TRUE, "maybe")</f>
        <v>maybe</v>
      </c>
      <c r="L12" s="5"/>
    </row>
    <row r="13" spans="1:12" ht="304.5">
      <c r="A13" s="5">
        <v>12</v>
      </c>
      <c r="B13" s="5" t="s">
        <v>99</v>
      </c>
      <c r="C13" s="5" t="s">
        <v>100</v>
      </c>
      <c r="D13" s="5" t="s">
        <v>101</v>
      </c>
      <c r="E13" s="5" t="s">
        <v>60</v>
      </c>
      <c r="F13" s="5" t="s">
        <v>102</v>
      </c>
      <c r="G13" s="5" t="s">
        <v>103</v>
      </c>
      <c r="H13" s="5" t="s">
        <v>43</v>
      </c>
      <c r="I13" s="5" t="s">
        <v>44</v>
      </c>
      <c r="J13" s="5" t="s">
        <v>44</v>
      </c>
      <c r="K13" s="5" t="str" cm="1">
        <f t="array" ref="K13">_xlfn.IFS(AND(I13="include",J13="include"),"include", AND(I13="exclude",J13="exclude"), "exclude", TRUE, "maybe")</f>
        <v>exclude</v>
      </c>
      <c r="L13" s="5"/>
    </row>
    <row r="14" spans="1:12" ht="43.5">
      <c r="A14" s="5">
        <v>13</v>
      </c>
      <c r="B14" s="5" t="s">
        <v>104</v>
      </c>
      <c r="C14" s="5" t="s">
        <v>105</v>
      </c>
      <c r="D14" s="5" t="s">
        <v>106</v>
      </c>
      <c r="E14" s="5" t="s">
        <v>107</v>
      </c>
      <c r="F14" s="5"/>
      <c r="G14" s="5"/>
      <c r="H14" s="5" t="s">
        <v>108</v>
      </c>
      <c r="I14" s="5" t="s">
        <v>50</v>
      </c>
      <c r="J14" s="5" t="s">
        <v>50</v>
      </c>
      <c r="K14" s="5" t="str" cm="1">
        <f t="array" ref="K14">_xlfn.IFS(AND(I14="include",J14="include"),"include", AND(I14="exclude",J14="exclude"), "exclude", TRUE, "maybe")</f>
        <v>include</v>
      </c>
      <c r="L14" s="5"/>
    </row>
    <row r="15" spans="1:12" ht="216.75">
      <c r="A15" s="5">
        <v>14</v>
      </c>
      <c r="B15" s="5" t="s">
        <v>109</v>
      </c>
      <c r="C15" s="5" t="s">
        <v>110</v>
      </c>
      <c r="D15" s="5" t="s">
        <v>111</v>
      </c>
      <c r="E15" s="5" t="s">
        <v>66</v>
      </c>
      <c r="F15" s="5" t="s">
        <v>112</v>
      </c>
      <c r="G15" s="5" t="s">
        <v>113</v>
      </c>
      <c r="H15" s="5" t="s">
        <v>43</v>
      </c>
      <c r="I15" s="5" t="s">
        <v>44</v>
      </c>
      <c r="J15" s="5" t="s">
        <v>50</v>
      </c>
      <c r="K15" s="5" t="str" cm="1">
        <f t="array" ref="K15">_xlfn.IFS(AND(I15="include",J15="include"),"include", AND(I15="exclude",J15="exclude"), "exclude", TRUE, "maybe")</f>
        <v>maybe</v>
      </c>
      <c r="L15" s="5" t="s">
        <v>114</v>
      </c>
    </row>
    <row r="16" spans="1:12" ht="290.25">
      <c r="A16" s="5">
        <v>15</v>
      </c>
      <c r="B16" s="5" t="s">
        <v>115</v>
      </c>
      <c r="C16" s="5" t="s">
        <v>116</v>
      </c>
      <c r="D16" s="5" t="s">
        <v>117</v>
      </c>
      <c r="E16" s="5" t="s">
        <v>75</v>
      </c>
      <c r="F16" s="5"/>
      <c r="G16" s="5" t="s">
        <v>118</v>
      </c>
      <c r="H16" s="5" t="s">
        <v>49</v>
      </c>
      <c r="I16" s="5" t="s">
        <v>50</v>
      </c>
      <c r="J16" s="5" t="s">
        <v>50</v>
      </c>
      <c r="K16" s="5" t="str" cm="1">
        <f t="array" ref="K16">_xlfn.IFS(AND(I16="include",J16="include"),"include", AND(I16="exclude",J16="exclude"), "exclude", TRUE, "maybe")</f>
        <v>include</v>
      </c>
      <c r="L16" s="5"/>
    </row>
    <row r="17" spans="1:12" ht="159">
      <c r="A17" s="5">
        <v>16</v>
      </c>
      <c r="B17" s="5" t="s">
        <v>119</v>
      </c>
      <c r="C17" s="5" t="s">
        <v>120</v>
      </c>
      <c r="D17" s="5" t="s">
        <v>121</v>
      </c>
      <c r="E17" s="5" t="s">
        <v>60</v>
      </c>
      <c r="F17" s="5" t="s">
        <v>122</v>
      </c>
      <c r="G17" s="5" t="s">
        <v>123</v>
      </c>
      <c r="H17" s="5" t="s">
        <v>43</v>
      </c>
      <c r="I17" s="5" t="s">
        <v>50</v>
      </c>
      <c r="J17" s="5" t="s">
        <v>44</v>
      </c>
      <c r="K17" s="5" t="str" cm="1">
        <f t="array" ref="K17">_xlfn.IFS(AND(I17="include",J17="include"),"include", AND(I17="exclude",J17="exclude"), "exclude", TRUE, "maybe")</f>
        <v>maybe</v>
      </c>
      <c r="L17" s="5"/>
    </row>
    <row r="18" spans="1:12" ht="261">
      <c r="A18" s="5">
        <v>17</v>
      </c>
      <c r="B18" s="5" t="s">
        <v>124</v>
      </c>
      <c r="C18" s="5" t="s">
        <v>125</v>
      </c>
      <c r="D18" s="5" t="s">
        <v>126</v>
      </c>
      <c r="E18" s="5" t="s">
        <v>107</v>
      </c>
      <c r="F18" s="5" t="s">
        <v>127</v>
      </c>
      <c r="G18" s="5" t="s">
        <v>128</v>
      </c>
      <c r="H18" s="5" t="s">
        <v>43</v>
      </c>
      <c r="I18" s="5" t="s">
        <v>50</v>
      </c>
      <c r="J18" s="5" t="s">
        <v>50</v>
      </c>
      <c r="K18" s="5" t="str" cm="1">
        <f t="array" ref="K18">_xlfn.IFS(AND(I18="include",J18="include"),"include", AND(I18="exclude",J18="exclude"), "exclude", TRUE, "maybe")</f>
        <v>include</v>
      </c>
      <c r="L18" s="5"/>
    </row>
    <row r="19" spans="1:12" ht="290.25">
      <c r="A19" s="5">
        <v>18</v>
      </c>
      <c r="B19" s="5" t="s">
        <v>129</v>
      </c>
      <c r="C19" s="5" t="s">
        <v>130</v>
      </c>
      <c r="D19" s="5" t="s">
        <v>131</v>
      </c>
      <c r="E19" s="5" t="s">
        <v>66</v>
      </c>
      <c r="F19" s="5"/>
      <c r="G19" s="5" t="s">
        <v>132</v>
      </c>
      <c r="H19" s="5" t="s">
        <v>49</v>
      </c>
      <c r="I19" s="5" t="s">
        <v>50</v>
      </c>
      <c r="J19" s="5" t="s">
        <v>50</v>
      </c>
      <c r="K19" s="5" t="str" cm="1">
        <f t="array" ref="K19">_xlfn.IFS(AND(I19="include",J19="include"),"include", AND(I19="exclude",J19="exclude"), "exclude", TRUE, "maybe")</f>
        <v>include</v>
      </c>
      <c r="L19" s="5"/>
    </row>
    <row r="20" spans="1:12" ht="232.5">
      <c r="A20" s="5">
        <v>19</v>
      </c>
      <c r="B20" s="5" t="s">
        <v>133</v>
      </c>
      <c r="C20" s="5" t="s">
        <v>134</v>
      </c>
      <c r="D20" s="5" t="s">
        <v>135</v>
      </c>
      <c r="E20" s="5" t="s">
        <v>60</v>
      </c>
      <c r="F20" s="5"/>
      <c r="G20" s="5" t="s">
        <v>136</v>
      </c>
      <c r="H20" s="5" t="s">
        <v>49</v>
      </c>
      <c r="I20" s="5" t="s">
        <v>50</v>
      </c>
      <c r="J20" s="5" t="s">
        <v>50</v>
      </c>
      <c r="K20" s="5" t="str" cm="1">
        <f t="array" ref="K20">_xlfn.IFS(AND(I20="include",J20="include"),"include", AND(I20="exclude",J20="exclude"), "exclude", TRUE, "maybe")</f>
        <v>include</v>
      </c>
      <c r="L20" s="5"/>
    </row>
    <row r="21" spans="1:12" ht="216.75">
      <c r="A21" s="5">
        <v>20</v>
      </c>
      <c r="B21" s="5" t="s">
        <v>137</v>
      </c>
      <c r="C21" s="5" t="s">
        <v>138</v>
      </c>
      <c r="D21" s="5" t="s">
        <v>139</v>
      </c>
      <c r="E21" s="5" t="s">
        <v>75</v>
      </c>
      <c r="F21" s="5" t="s">
        <v>140</v>
      </c>
      <c r="G21" s="5" t="s">
        <v>141</v>
      </c>
      <c r="H21" s="5" t="s">
        <v>49</v>
      </c>
      <c r="I21" s="5" t="s">
        <v>50</v>
      </c>
      <c r="J21" s="5" t="s">
        <v>50</v>
      </c>
      <c r="K21" s="5" t="str" cm="1">
        <f t="array" ref="K21">_xlfn.IFS(AND(I21="include",J21="include"),"include", AND(I21="exclude",J21="exclude"), "exclude", TRUE, "maybe")</f>
        <v>include</v>
      </c>
      <c r="L21" s="5"/>
    </row>
    <row r="22" spans="1:12" ht="43.5">
      <c r="A22" s="5">
        <v>21</v>
      </c>
      <c r="B22" s="5" t="s">
        <v>142</v>
      </c>
      <c r="C22" s="5" t="s">
        <v>143</v>
      </c>
      <c r="D22" s="5" t="s">
        <v>144</v>
      </c>
      <c r="E22" s="5" t="s">
        <v>40</v>
      </c>
      <c r="F22" s="5" t="s">
        <v>145</v>
      </c>
      <c r="G22" s="5"/>
      <c r="H22" s="5" t="s">
        <v>43</v>
      </c>
      <c r="I22" s="5" t="s">
        <v>44</v>
      </c>
      <c r="J22" s="5" t="s">
        <v>44</v>
      </c>
      <c r="K22" s="5" t="str" cm="1">
        <f t="array" ref="K22">_xlfn.IFS(AND(I22="include",J22="include"),"include", AND(I22="exclude",J22="exclude"), "exclude", TRUE, "maybe")</f>
        <v>exclude</v>
      </c>
      <c r="L22" s="5"/>
    </row>
    <row r="23" spans="1:12" ht="173.25">
      <c r="A23" s="5">
        <v>22</v>
      </c>
      <c r="B23" s="5" t="s">
        <v>146</v>
      </c>
      <c r="C23" s="5" t="s">
        <v>147</v>
      </c>
      <c r="D23" s="5" t="s">
        <v>148</v>
      </c>
      <c r="E23" s="5" t="s">
        <v>40</v>
      </c>
      <c r="F23" s="5" t="s">
        <v>149</v>
      </c>
      <c r="G23" s="5" t="s">
        <v>150</v>
      </c>
      <c r="H23" s="5" t="s">
        <v>43</v>
      </c>
      <c r="I23" s="5" t="s">
        <v>50</v>
      </c>
      <c r="J23" s="5" t="s">
        <v>50</v>
      </c>
      <c r="K23" s="5" t="str" cm="1">
        <f t="array" ref="K23">_xlfn.IFS(AND(I23="include",J23="include"),"include", AND(I23="exclude",J23="exclude"), "exclude", TRUE, "maybe")</f>
        <v>include</v>
      </c>
      <c r="L23" s="5"/>
    </row>
    <row r="24" spans="1:12" ht="362.25">
      <c r="A24" s="5">
        <v>23</v>
      </c>
      <c r="B24" s="5" t="s">
        <v>151</v>
      </c>
      <c r="C24" s="5" t="s">
        <v>152</v>
      </c>
      <c r="D24" s="5" t="s">
        <v>153</v>
      </c>
      <c r="E24" s="5" t="s">
        <v>60</v>
      </c>
      <c r="F24" s="5" t="s">
        <v>154</v>
      </c>
      <c r="G24" s="5" t="s">
        <v>155</v>
      </c>
      <c r="H24" s="5" t="s">
        <v>43</v>
      </c>
      <c r="I24" s="5" t="s">
        <v>50</v>
      </c>
      <c r="J24" s="5" t="s">
        <v>50</v>
      </c>
      <c r="K24" s="5" t="str" cm="1">
        <f t="array" ref="K24">_xlfn.IFS(AND(I24="include",J24="include"),"include", AND(I24="exclude",J24="exclude"), "exclude", TRUE, "maybe")</f>
        <v>include</v>
      </c>
      <c r="L24" s="5"/>
    </row>
    <row r="25" spans="1:12" ht="276">
      <c r="A25" s="5">
        <v>24</v>
      </c>
      <c r="B25" s="5" t="s">
        <v>156</v>
      </c>
      <c r="C25" s="5" t="s">
        <v>157</v>
      </c>
      <c r="D25" s="5" t="s">
        <v>158</v>
      </c>
      <c r="E25" s="5" t="s">
        <v>60</v>
      </c>
      <c r="F25" s="5" t="s">
        <v>159</v>
      </c>
      <c r="G25" s="5" t="s">
        <v>160</v>
      </c>
      <c r="H25" s="5" t="s">
        <v>43</v>
      </c>
      <c r="I25" s="5" t="s">
        <v>50</v>
      </c>
      <c r="J25" s="5" t="s">
        <v>50</v>
      </c>
      <c r="K25" s="5" t="str" cm="1">
        <f t="array" ref="K25">_xlfn.IFS(AND(I25="include",J25="include"),"include", AND(I25="exclude",J25="exclude"), "exclude", TRUE, "maybe")</f>
        <v>include</v>
      </c>
      <c r="L25" s="5"/>
    </row>
    <row r="26" spans="1:12" ht="232.5">
      <c r="A26" s="5">
        <v>25</v>
      </c>
      <c r="B26" s="5" t="s">
        <v>161</v>
      </c>
      <c r="C26" s="5" t="s">
        <v>162</v>
      </c>
      <c r="D26" s="5" t="s">
        <v>163</v>
      </c>
      <c r="E26" s="5" t="s">
        <v>75</v>
      </c>
      <c r="F26" s="5" t="s">
        <v>164</v>
      </c>
      <c r="G26" s="5" t="s">
        <v>165</v>
      </c>
      <c r="H26" s="5" t="s">
        <v>49</v>
      </c>
      <c r="I26" s="5" t="s">
        <v>50</v>
      </c>
      <c r="J26" s="5" t="s">
        <v>50</v>
      </c>
      <c r="K26" s="5" t="str" cm="1">
        <f t="array" ref="K26">_xlfn.IFS(AND(I26="include",J26="include"),"include", AND(I26="exclude",J26="exclude"), "exclude", TRUE, "maybe")</f>
        <v>include</v>
      </c>
      <c r="L26" s="5"/>
    </row>
    <row r="27" spans="1:12" ht="333.75">
      <c r="A27" s="5">
        <v>26</v>
      </c>
      <c r="B27" s="5" t="s">
        <v>166</v>
      </c>
      <c r="C27" s="5" t="s">
        <v>167</v>
      </c>
      <c r="D27" s="5" t="s">
        <v>168</v>
      </c>
      <c r="E27" s="5" t="s">
        <v>60</v>
      </c>
      <c r="F27" s="5" t="s">
        <v>169</v>
      </c>
      <c r="G27" s="5" t="s">
        <v>170</v>
      </c>
      <c r="H27" s="5" t="s">
        <v>43</v>
      </c>
      <c r="I27" s="5" t="s">
        <v>44</v>
      </c>
      <c r="J27" s="5" t="s">
        <v>44</v>
      </c>
      <c r="K27" s="5" t="str" cm="1">
        <f t="array" ref="K27">_xlfn.IFS(AND(I27="include",J27="include"),"include", AND(I27="exclude",J27="exclude"), "exclude", TRUE, "maybe")</f>
        <v>exclude</v>
      </c>
      <c r="L27" s="5"/>
    </row>
    <row r="28" spans="1:12" ht="43.5">
      <c r="A28" s="5">
        <v>27</v>
      </c>
      <c r="B28" s="5" t="s">
        <v>171</v>
      </c>
      <c r="C28" s="5" t="s">
        <v>172</v>
      </c>
      <c r="D28" s="5" t="s">
        <v>173</v>
      </c>
      <c r="E28" s="5" t="s">
        <v>40</v>
      </c>
      <c r="F28" s="5" t="s">
        <v>174</v>
      </c>
      <c r="G28" s="5"/>
      <c r="H28" s="5" t="s">
        <v>43</v>
      </c>
      <c r="I28" s="5" t="s">
        <v>44</v>
      </c>
      <c r="J28" s="5" t="s">
        <v>44</v>
      </c>
      <c r="K28" s="5" t="str" cm="1">
        <f t="array" ref="K28">_xlfn.IFS(AND(I28="include",J28="include"),"include", AND(I28="exclude",J28="exclude"), "exclude", TRUE, "maybe")</f>
        <v>exclude</v>
      </c>
      <c r="L28" s="5"/>
    </row>
    <row r="29" spans="1:12" ht="29.25">
      <c r="A29" s="5">
        <v>28</v>
      </c>
      <c r="B29" s="5" t="s">
        <v>175</v>
      </c>
      <c r="C29" s="5" t="s">
        <v>176</v>
      </c>
      <c r="D29" s="5" t="s">
        <v>177</v>
      </c>
      <c r="E29" s="5" t="s">
        <v>60</v>
      </c>
      <c r="F29" s="5" t="s">
        <v>178</v>
      </c>
      <c r="G29" s="5"/>
      <c r="H29" s="5" t="s">
        <v>43</v>
      </c>
      <c r="I29" s="5" t="s">
        <v>44</v>
      </c>
      <c r="J29" s="5" t="s">
        <v>44</v>
      </c>
      <c r="K29" s="5" t="str" cm="1">
        <f t="array" ref="K29">_xlfn.IFS(AND(I29="include",J29="include"),"include", AND(I29="exclude",J29="exclude"), "exclude", TRUE, "maybe")</f>
        <v>exclude</v>
      </c>
      <c r="L29" s="5"/>
    </row>
    <row r="30" spans="1:12" ht="409.6">
      <c r="A30" s="5">
        <v>29</v>
      </c>
      <c r="B30" s="5" t="s">
        <v>179</v>
      </c>
      <c r="C30" s="5" t="s">
        <v>180</v>
      </c>
      <c r="D30" s="5" t="s">
        <v>181</v>
      </c>
      <c r="E30" s="5" t="s">
        <v>60</v>
      </c>
      <c r="F30" s="5" t="s">
        <v>182</v>
      </c>
      <c r="G30" s="5" t="s">
        <v>183</v>
      </c>
      <c r="H30" s="5" t="s">
        <v>43</v>
      </c>
      <c r="I30" s="5" t="s">
        <v>44</v>
      </c>
      <c r="J30" s="5" t="s">
        <v>44</v>
      </c>
      <c r="K30" s="5" t="str" cm="1">
        <f t="array" ref="K30">_xlfn.IFS(AND(I30="include",J30="include"),"include", AND(I30="exclude",J30="exclude"), "exclude", TRUE, "maybe")</f>
        <v>exclude</v>
      </c>
      <c r="L30" s="5"/>
    </row>
    <row r="31" spans="1:12" ht="202.5">
      <c r="A31" s="5">
        <v>30</v>
      </c>
      <c r="B31" s="5" t="s">
        <v>184</v>
      </c>
      <c r="C31" s="5" t="s">
        <v>185</v>
      </c>
      <c r="D31" s="5" t="s">
        <v>186</v>
      </c>
      <c r="E31" s="5" t="s">
        <v>60</v>
      </c>
      <c r="F31" s="5" t="s">
        <v>187</v>
      </c>
      <c r="G31" s="5" t="s">
        <v>188</v>
      </c>
      <c r="H31" s="5" t="s">
        <v>43</v>
      </c>
      <c r="I31" s="5" t="s">
        <v>44</v>
      </c>
      <c r="J31" s="5" t="s">
        <v>50</v>
      </c>
      <c r="K31" s="5" t="str" cm="1">
        <f t="array" ref="K31">_xlfn.IFS(AND(I31="include",J31="include"),"include", AND(I31="exclude",J31="exclude"), "exclude", TRUE, "maybe")</f>
        <v>maybe</v>
      </c>
      <c r="L31" s="5" t="s">
        <v>189</v>
      </c>
    </row>
    <row r="32" spans="1:12" ht="409.6">
      <c r="A32" s="5">
        <v>31</v>
      </c>
      <c r="B32" s="5" t="s">
        <v>190</v>
      </c>
      <c r="C32" s="5" t="s">
        <v>191</v>
      </c>
      <c r="D32" s="5" t="s">
        <v>192</v>
      </c>
      <c r="E32" s="5" t="s">
        <v>54</v>
      </c>
      <c r="F32" s="5"/>
      <c r="G32" s="5" t="s">
        <v>193</v>
      </c>
      <c r="H32" s="5" t="s">
        <v>43</v>
      </c>
      <c r="I32" s="5" t="s">
        <v>44</v>
      </c>
      <c r="J32" s="5" t="s">
        <v>44</v>
      </c>
      <c r="K32" s="5" t="str" cm="1">
        <f t="array" ref="K32">_xlfn.IFS(AND(I32="include",J32="include"),"include", AND(I32="exclude",J32="exclude"), "exclude", TRUE, "maybe")</f>
        <v>exclude</v>
      </c>
      <c r="L32" s="5"/>
    </row>
    <row r="33" spans="1:12" ht="202.5">
      <c r="A33" s="5">
        <v>32</v>
      </c>
      <c r="B33" s="5" t="s">
        <v>194</v>
      </c>
      <c r="C33" s="5" t="s">
        <v>195</v>
      </c>
      <c r="D33" s="5" t="s">
        <v>196</v>
      </c>
      <c r="E33" s="5" t="s">
        <v>40</v>
      </c>
      <c r="F33" s="5" t="s">
        <v>197</v>
      </c>
      <c r="G33" s="5" t="s">
        <v>198</v>
      </c>
      <c r="H33" s="5" t="s">
        <v>43</v>
      </c>
      <c r="I33" s="5" t="s">
        <v>44</v>
      </c>
      <c r="J33" s="5" t="s">
        <v>82</v>
      </c>
      <c r="K33" s="5" t="str" cm="1">
        <f t="array" ref="K33">_xlfn.IFS(AND(I33="include",J33="include"),"include", AND(I33="exclude",J33="exclude"), "exclude", TRUE, "maybe")</f>
        <v>maybe</v>
      </c>
      <c r="L33" s="5" t="s">
        <v>199</v>
      </c>
    </row>
    <row r="34" spans="1:12" ht="348">
      <c r="A34" s="5">
        <v>33</v>
      </c>
      <c r="B34" s="5" t="s">
        <v>200</v>
      </c>
      <c r="C34" s="5" t="s">
        <v>201</v>
      </c>
      <c r="D34" s="5" t="s">
        <v>202</v>
      </c>
      <c r="E34" s="5" t="s">
        <v>66</v>
      </c>
      <c r="F34" s="5"/>
      <c r="G34" s="5" t="s">
        <v>203</v>
      </c>
      <c r="H34" s="5" t="s">
        <v>43</v>
      </c>
      <c r="I34" s="5" t="s">
        <v>50</v>
      </c>
      <c r="J34" s="5" t="s">
        <v>50</v>
      </c>
      <c r="K34" s="5" t="str" cm="1">
        <f t="array" ref="K34">_xlfn.IFS(AND(I34="include",J34="include"),"include", AND(I34="exclude",J34="exclude"), "exclude", TRUE, "maybe")</f>
        <v>include</v>
      </c>
      <c r="L34" s="5"/>
    </row>
    <row r="35" spans="1:12" ht="261">
      <c r="A35" s="5">
        <v>34</v>
      </c>
      <c r="B35" s="5" t="s">
        <v>204</v>
      </c>
      <c r="C35" s="5" t="s">
        <v>205</v>
      </c>
      <c r="D35" s="5" t="s">
        <v>206</v>
      </c>
      <c r="E35" s="5" t="s">
        <v>60</v>
      </c>
      <c r="F35" s="5" t="s">
        <v>207</v>
      </c>
      <c r="G35" s="5" t="s">
        <v>208</v>
      </c>
      <c r="H35" s="5" t="s">
        <v>43</v>
      </c>
      <c r="I35" s="5" t="s">
        <v>50</v>
      </c>
      <c r="J35" s="5" t="s">
        <v>50</v>
      </c>
      <c r="K35" s="5" t="str" cm="1">
        <f t="array" ref="K35">_xlfn.IFS(AND(I35="include",J35="include"),"include", AND(I35="exclude",J35="exclude"), "exclude", TRUE, "maybe")</f>
        <v>include</v>
      </c>
      <c r="L35" s="5"/>
    </row>
    <row r="36" spans="1:12" ht="362.25">
      <c r="A36" s="5">
        <v>35</v>
      </c>
      <c r="B36" s="5" t="s">
        <v>209</v>
      </c>
      <c r="C36" s="5" t="s">
        <v>210</v>
      </c>
      <c r="D36" s="5" t="s">
        <v>211</v>
      </c>
      <c r="E36" s="5" t="s">
        <v>60</v>
      </c>
      <c r="F36" s="5" t="s">
        <v>212</v>
      </c>
      <c r="G36" s="5" t="s">
        <v>213</v>
      </c>
      <c r="H36" s="5" t="s">
        <v>43</v>
      </c>
      <c r="I36" s="5" t="s">
        <v>50</v>
      </c>
      <c r="J36" s="5" t="s">
        <v>50</v>
      </c>
      <c r="K36" s="5" t="str" cm="1">
        <f t="array" ref="K36">_xlfn.IFS(AND(I36="include",J36="include"),"include", AND(I36="exclude",J36="exclude"), "exclude", TRUE, "maybe")</f>
        <v>include</v>
      </c>
      <c r="L36" s="5"/>
    </row>
    <row r="37" spans="1:12" ht="348">
      <c r="A37" s="5">
        <v>36</v>
      </c>
      <c r="B37" s="5" t="s">
        <v>214</v>
      </c>
      <c r="C37" s="5" t="s">
        <v>215</v>
      </c>
      <c r="D37" s="5" t="s">
        <v>216</v>
      </c>
      <c r="E37" s="5" t="s">
        <v>107</v>
      </c>
      <c r="F37" s="5" t="s">
        <v>217</v>
      </c>
      <c r="G37" s="5" t="s">
        <v>218</v>
      </c>
      <c r="H37" s="5" t="s">
        <v>43</v>
      </c>
      <c r="I37" s="5" t="s">
        <v>50</v>
      </c>
      <c r="J37" s="5" t="s">
        <v>50</v>
      </c>
      <c r="K37" s="5" t="str" cm="1">
        <f t="array" ref="K37">_xlfn.IFS(AND(I37="include",J37="include"),"include", AND(I37="exclude",J37="exclude"), "exclude", TRUE, "maybe")</f>
        <v>include</v>
      </c>
      <c r="L37" s="5"/>
    </row>
    <row r="38" spans="1:12" ht="409.6">
      <c r="A38" s="5">
        <v>37</v>
      </c>
      <c r="B38" s="5" t="s">
        <v>219</v>
      </c>
      <c r="C38" s="5" t="s">
        <v>220</v>
      </c>
      <c r="D38" s="5" t="s">
        <v>221</v>
      </c>
      <c r="E38" s="5" t="s">
        <v>60</v>
      </c>
      <c r="F38" s="5" t="s">
        <v>222</v>
      </c>
      <c r="G38" s="5" t="s">
        <v>223</v>
      </c>
      <c r="H38" s="5" t="s">
        <v>43</v>
      </c>
      <c r="I38" s="5" t="s">
        <v>44</v>
      </c>
      <c r="J38" s="5" t="s">
        <v>44</v>
      </c>
      <c r="K38" s="5" t="str" cm="1">
        <f t="array" ref="K38">_xlfn.IFS(AND(I38="include",J38="include"),"include", AND(I38="exclude",J38="exclude"), "exclude", TRUE, "maybe")</f>
        <v>exclude</v>
      </c>
      <c r="L38" s="5"/>
    </row>
    <row r="39" spans="1:12" ht="29.25">
      <c r="A39" s="5">
        <v>38</v>
      </c>
      <c r="B39" s="5" t="s">
        <v>224</v>
      </c>
      <c r="C39" s="5" t="s">
        <v>225</v>
      </c>
      <c r="D39" s="5"/>
      <c r="E39" s="5" t="s">
        <v>75</v>
      </c>
      <c r="F39" s="5"/>
      <c r="G39" s="5"/>
      <c r="H39" s="5" t="s">
        <v>226</v>
      </c>
      <c r="I39" s="5" t="s">
        <v>44</v>
      </c>
      <c r="J39" s="5" t="s">
        <v>44</v>
      </c>
      <c r="K39" s="5" t="str" cm="1">
        <f t="array" ref="K39">_xlfn.IFS(AND(I39="include",J39="include"),"include", AND(I39="exclude",J39="exclude"), "exclude", TRUE, "maybe")</f>
        <v>exclude</v>
      </c>
      <c r="L39" s="5"/>
    </row>
    <row r="40" spans="1:12" ht="173.25">
      <c r="A40" s="5">
        <v>39</v>
      </c>
      <c r="B40" s="5" t="s">
        <v>227</v>
      </c>
      <c r="C40" s="5" t="s">
        <v>228</v>
      </c>
      <c r="D40" s="5" t="s">
        <v>229</v>
      </c>
      <c r="E40" s="5" t="s">
        <v>107</v>
      </c>
      <c r="F40" s="5"/>
      <c r="G40" s="5" t="s">
        <v>230</v>
      </c>
      <c r="H40" s="5" t="s">
        <v>49</v>
      </c>
      <c r="I40" s="5" t="s">
        <v>50</v>
      </c>
      <c r="J40" s="5" t="s">
        <v>50</v>
      </c>
      <c r="K40" s="5" t="str" cm="1">
        <f t="array" ref="K40">_xlfn.IFS(AND(I40="include",J40="include"),"include", AND(I40="exclude",J40="exclude"), "exclude", TRUE, "maybe")</f>
        <v>include</v>
      </c>
      <c r="L40" s="5"/>
    </row>
    <row r="41" spans="1:12" ht="318.75">
      <c r="A41" s="5">
        <v>40</v>
      </c>
      <c r="B41" s="5" t="s">
        <v>231</v>
      </c>
      <c r="C41" s="5" t="s">
        <v>232</v>
      </c>
      <c r="D41" s="5" t="s">
        <v>233</v>
      </c>
      <c r="E41" s="5" t="s">
        <v>60</v>
      </c>
      <c r="F41" s="5" t="s">
        <v>234</v>
      </c>
      <c r="G41" s="5" t="s">
        <v>235</v>
      </c>
      <c r="H41" s="5" t="s">
        <v>43</v>
      </c>
      <c r="I41" s="5" t="s">
        <v>50</v>
      </c>
      <c r="J41" s="5" t="s">
        <v>50</v>
      </c>
      <c r="K41" s="5" t="str" cm="1">
        <f t="array" ref="K41">_xlfn.IFS(AND(I41="include",J41="include"),"include", AND(I41="exclude",J41="exclude"), "exclude", TRUE, "maybe")</f>
        <v>include</v>
      </c>
      <c r="L41" s="5"/>
    </row>
    <row r="42" spans="1:12" ht="409.6">
      <c r="A42" s="5">
        <v>41</v>
      </c>
      <c r="B42" s="5" t="s">
        <v>236</v>
      </c>
      <c r="C42" s="5"/>
      <c r="D42" s="5" t="s">
        <v>237</v>
      </c>
      <c r="E42" s="5" t="s">
        <v>92</v>
      </c>
      <c r="F42" s="5" t="s">
        <v>238</v>
      </c>
      <c r="G42" s="5" t="s">
        <v>239</v>
      </c>
      <c r="H42" s="5" t="s">
        <v>43</v>
      </c>
      <c r="I42" s="5" t="s">
        <v>44</v>
      </c>
      <c r="J42" s="5" t="s">
        <v>44</v>
      </c>
      <c r="K42" s="5" t="str" cm="1">
        <f t="array" ref="K42">_xlfn.IFS(AND(I42="include",J42="include"),"include", AND(I42="exclude",J42="exclude"), "exclude", TRUE, "maybe")</f>
        <v>exclude</v>
      </c>
      <c r="L42" s="5"/>
    </row>
    <row r="43" spans="1:12" ht="188.25">
      <c r="A43" s="5">
        <v>42</v>
      </c>
      <c r="B43" s="5" t="s">
        <v>240</v>
      </c>
      <c r="C43" s="5" t="s">
        <v>241</v>
      </c>
      <c r="D43" s="5" t="s">
        <v>242</v>
      </c>
      <c r="E43" s="5" t="s">
        <v>75</v>
      </c>
      <c r="F43" s="5"/>
      <c r="G43" s="5" t="s">
        <v>243</v>
      </c>
      <c r="H43" s="5" t="s">
        <v>49</v>
      </c>
      <c r="I43" s="5" t="s">
        <v>50</v>
      </c>
      <c r="J43" s="5" t="s">
        <v>50</v>
      </c>
      <c r="K43" s="5" t="str" cm="1">
        <f t="array" ref="K43">_xlfn.IFS(AND(I43="include",J43="include"),"include", AND(I43="exclude",J43="exclude"), "exclude", TRUE, "maybe")</f>
        <v>include</v>
      </c>
      <c r="L43" s="5"/>
    </row>
    <row r="44" spans="1:12" ht="202.5">
      <c r="A44" s="5">
        <v>43</v>
      </c>
      <c r="B44" s="5" t="s">
        <v>244</v>
      </c>
      <c r="C44" s="5" t="s">
        <v>245</v>
      </c>
      <c r="D44" s="5" t="s">
        <v>246</v>
      </c>
      <c r="E44" s="5" t="s">
        <v>107</v>
      </c>
      <c r="F44" s="5" t="s">
        <v>247</v>
      </c>
      <c r="G44" s="5" t="s">
        <v>248</v>
      </c>
      <c r="H44" s="5" t="s">
        <v>43</v>
      </c>
      <c r="I44" s="5" t="s">
        <v>44</v>
      </c>
      <c r="J44" s="5" t="s">
        <v>44</v>
      </c>
      <c r="K44" s="5" t="str" cm="1">
        <f t="array" ref="K44">_xlfn.IFS(AND(I44="include",J44="include"),"include", AND(I44="exclude",J44="exclude"), "exclude", TRUE, "maybe")</f>
        <v>exclude</v>
      </c>
      <c r="L44" s="5"/>
    </row>
    <row r="45" spans="1:12" ht="29.25">
      <c r="A45" s="5">
        <v>44</v>
      </c>
      <c r="B45" s="5" t="s">
        <v>249</v>
      </c>
      <c r="C45" s="5" t="s">
        <v>250</v>
      </c>
      <c r="D45" s="5" t="s">
        <v>251</v>
      </c>
      <c r="E45" s="5" t="s">
        <v>54</v>
      </c>
      <c r="F45" s="5" t="s">
        <v>252</v>
      </c>
      <c r="G45" s="5"/>
      <c r="H45" s="5" t="s">
        <v>43</v>
      </c>
      <c r="I45" s="5" t="s">
        <v>44</v>
      </c>
      <c r="J45" s="5" t="s">
        <v>44</v>
      </c>
      <c r="K45" s="5" t="str" cm="1">
        <f t="array" ref="K45">_xlfn.IFS(AND(I45="include",J45="include"),"include", AND(I45="exclude",J45="exclude"), "exclude", TRUE, "maybe")</f>
        <v>exclude</v>
      </c>
      <c r="L45" s="5"/>
    </row>
    <row r="46" spans="1:12" ht="276">
      <c r="A46" s="5">
        <v>45</v>
      </c>
      <c r="B46" s="5" t="s">
        <v>253</v>
      </c>
      <c r="C46" s="5" t="s">
        <v>254</v>
      </c>
      <c r="D46" s="5" t="s">
        <v>255</v>
      </c>
      <c r="E46" s="5" t="s">
        <v>75</v>
      </c>
      <c r="F46" s="5" t="s">
        <v>256</v>
      </c>
      <c r="G46" s="5" t="s">
        <v>257</v>
      </c>
      <c r="H46" s="5" t="s">
        <v>43</v>
      </c>
      <c r="I46" s="5" t="s">
        <v>44</v>
      </c>
      <c r="J46" s="5" t="s">
        <v>44</v>
      </c>
      <c r="K46" s="5" t="str" cm="1">
        <f t="array" ref="K46">_xlfn.IFS(AND(I46="include",J46="include"),"include", AND(I46="exclude",J46="exclude"), "exclude", TRUE, "maybe")</f>
        <v>exclude</v>
      </c>
      <c r="L46" s="5"/>
    </row>
    <row r="47" spans="1:12" ht="246.75">
      <c r="A47" s="5">
        <v>46</v>
      </c>
      <c r="B47" s="5" t="s">
        <v>258</v>
      </c>
      <c r="C47" s="5" t="s">
        <v>259</v>
      </c>
      <c r="D47" s="5" t="s">
        <v>260</v>
      </c>
      <c r="E47" s="5" t="s">
        <v>66</v>
      </c>
      <c r="F47" s="5"/>
      <c r="G47" s="5" t="s">
        <v>261</v>
      </c>
      <c r="H47" s="5" t="s">
        <v>43</v>
      </c>
      <c r="I47" s="5" t="s">
        <v>50</v>
      </c>
      <c r="J47" s="5" t="s">
        <v>50</v>
      </c>
      <c r="K47" s="5" t="str" cm="1">
        <f t="array" ref="K47">_xlfn.IFS(AND(I47="include",J47="include"),"include", AND(I47="exclude",J47="exclude"), "exclude", TRUE, "maybe")</f>
        <v>include</v>
      </c>
      <c r="L47" s="5"/>
    </row>
    <row r="48" spans="1:12" ht="130.5">
      <c r="A48" s="5">
        <v>47</v>
      </c>
      <c r="B48" s="5" t="s">
        <v>262</v>
      </c>
      <c r="C48" s="5" t="s">
        <v>263</v>
      </c>
      <c r="D48" s="5" t="s">
        <v>264</v>
      </c>
      <c r="E48" s="5" t="s">
        <v>75</v>
      </c>
      <c r="F48" s="5"/>
      <c r="G48" s="5" t="s">
        <v>265</v>
      </c>
      <c r="H48" s="5" t="s">
        <v>49</v>
      </c>
      <c r="I48" s="5"/>
      <c r="J48" s="5" t="s">
        <v>50</v>
      </c>
      <c r="K48" s="5" t="str" cm="1">
        <f t="array" ref="K48">_xlfn.IFS(AND(I48="include",J48="include"),"include", AND(I48="exclude",J48="exclude"), "exclude", TRUE, "maybe")</f>
        <v>maybe</v>
      </c>
      <c r="L48" s="5"/>
    </row>
    <row r="49" spans="1:12" ht="43.5">
      <c r="A49" s="5">
        <v>48</v>
      </c>
      <c r="B49" s="5" t="s">
        <v>266</v>
      </c>
      <c r="C49" s="5" t="s">
        <v>267</v>
      </c>
      <c r="D49" s="5" t="s">
        <v>268</v>
      </c>
      <c r="E49" s="5" t="s">
        <v>40</v>
      </c>
      <c r="F49" s="5" t="s">
        <v>269</v>
      </c>
      <c r="G49" s="5"/>
      <c r="H49" s="5" t="s">
        <v>43</v>
      </c>
      <c r="I49" s="5"/>
      <c r="J49" s="5" t="s">
        <v>44</v>
      </c>
      <c r="K49" s="5" t="str" cm="1">
        <f t="array" ref="K49">_xlfn.IFS(AND(I49="include",J49="include"),"include", AND(I49="exclude",J49="exclude"), "exclude", TRUE, "maybe")</f>
        <v>maybe</v>
      </c>
      <c r="L49" s="5"/>
    </row>
    <row r="50" spans="1:12" ht="261">
      <c r="A50" s="5">
        <v>49</v>
      </c>
      <c r="B50" s="5" t="s">
        <v>270</v>
      </c>
      <c r="C50" s="5" t="s">
        <v>271</v>
      </c>
      <c r="D50" s="5" t="s">
        <v>272</v>
      </c>
      <c r="E50" s="5" t="s">
        <v>60</v>
      </c>
      <c r="F50" s="5" t="s">
        <v>273</v>
      </c>
      <c r="G50" s="5" t="s">
        <v>274</v>
      </c>
      <c r="H50" s="5" t="s">
        <v>43</v>
      </c>
      <c r="I50" s="5"/>
      <c r="J50" s="5" t="s">
        <v>44</v>
      </c>
      <c r="K50" s="5" t="str" cm="1">
        <f t="array" ref="K50">_xlfn.IFS(AND(I50="include",J50="include"),"include", AND(I50="exclude",J50="exclude"), "exclude", TRUE, "maybe")</f>
        <v>maybe</v>
      </c>
      <c r="L50" s="5"/>
    </row>
    <row r="51" spans="1:12" ht="276">
      <c r="A51" s="5">
        <v>50</v>
      </c>
      <c r="B51" s="5" t="s">
        <v>275</v>
      </c>
      <c r="C51" s="5" t="s">
        <v>276</v>
      </c>
      <c r="D51" s="5" t="s">
        <v>277</v>
      </c>
      <c r="E51" s="5" t="s">
        <v>66</v>
      </c>
      <c r="F51" s="5" t="s">
        <v>278</v>
      </c>
      <c r="G51" s="5" t="s">
        <v>279</v>
      </c>
      <c r="H51" s="5" t="s">
        <v>43</v>
      </c>
      <c r="I51" s="5"/>
      <c r="J51" s="5" t="s">
        <v>50</v>
      </c>
      <c r="K51" s="5" t="str" cm="1">
        <f t="array" ref="K51">_xlfn.IFS(AND(I51="include",J51="include"),"include", AND(I51="exclude",J51="exclude"), "exclude", TRUE, "maybe")</f>
        <v>maybe</v>
      </c>
      <c r="L51" s="5"/>
    </row>
  </sheetData>
  <autoFilter ref="A1:L51" xr:uid="{00000000-0009-0000-0000-000001000000}"/>
  <conditionalFormatting sqref="I2:I51">
    <cfRule type="cellIs" dxfId="8" priority="1" operator="equal">
      <formula>"include"</formula>
    </cfRule>
    <cfRule type="cellIs" dxfId="7" priority="2" operator="equal">
      <formula>"exclude"</formula>
    </cfRule>
    <cfRule type="cellIs" dxfId="6" priority="3" operator="equal">
      <formula>"maybe"</formula>
    </cfRule>
  </conditionalFormatting>
  <conditionalFormatting sqref="J2:J51">
    <cfRule type="cellIs" dxfId="5" priority="4" operator="equal">
      <formula>"include"</formula>
    </cfRule>
    <cfRule type="cellIs" dxfId="4" priority="5" operator="equal">
      <formula>"exclude"</formula>
    </cfRule>
    <cfRule type="cellIs" dxfId="3" priority="6" operator="equal">
      <formula>"maybe"</formula>
    </cfRule>
  </conditionalFormatting>
  <conditionalFormatting sqref="K2:K51">
    <cfRule type="cellIs" dxfId="2" priority="7" operator="equal">
      <formula>"include"</formula>
    </cfRule>
    <cfRule type="cellIs" dxfId="1" priority="8" operator="equal">
      <formula>"exclude"</formula>
    </cfRule>
    <cfRule type="cellIs" dxfId="0" priority="9" operator="equal">
      <formula>"maybe"</formula>
    </cfRule>
  </conditionalFormatting>
  <dataValidations count="1">
    <dataValidation type="list" allowBlank="1" errorTitle="Invalid decision" error="Please select: include, exclude, or maybe" promptTitle="Decision" prompt="Select your screening decision" sqref="I2:K51" xr:uid="{00000000-0002-0000-0100-000000000000}">
      <formula1>"include,exclude,maybe"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C8"/>
  <sheetViews>
    <sheetView workbookViewId="0">
      <selection activeCell="B3" sqref="B3"/>
    </sheetView>
  </sheetViews>
  <sheetFormatPr defaultRowHeight="14.45"/>
  <cols>
    <col min="1" max="1" width="18" customWidth="1"/>
    <col min="2" max="3" width="14" customWidth="1"/>
  </cols>
  <sheetData>
    <row r="1" spans="1:3" ht="16.5">
      <c r="A1" s="6" t="s">
        <v>280</v>
      </c>
      <c r="B1" s="6" t="s">
        <v>281</v>
      </c>
      <c r="C1" s="6" t="s">
        <v>282</v>
      </c>
    </row>
    <row r="2" spans="1:3" ht="21">
      <c r="A2" s="3" t="s">
        <v>283</v>
      </c>
      <c r="B2" s="7" t="s">
        <v>284</v>
      </c>
      <c r="C2" s="8"/>
    </row>
    <row r="3" spans="1:3" ht="21">
      <c r="A3" s="3" t="s">
        <v>285</v>
      </c>
      <c r="B3" s="7">
        <f>COUNTA(Screening!I2:I51)</f>
        <v>46</v>
      </c>
      <c r="C3" s="8">
        <f>B3/B2</f>
        <v>0.92</v>
      </c>
    </row>
    <row r="4" spans="1:3" ht="21">
      <c r="A4" s="3" t="s">
        <v>286</v>
      </c>
      <c r="B4" s="7">
        <f>B2-B3</f>
        <v>4</v>
      </c>
      <c r="C4" s="8">
        <f>B4/B2</f>
        <v>0.08</v>
      </c>
    </row>
    <row r="5" spans="1:3" ht="21">
      <c r="A5" s="2"/>
      <c r="B5" s="7"/>
      <c r="C5" s="8"/>
    </row>
    <row r="6" spans="1:3" ht="21">
      <c r="A6" s="3" t="s">
        <v>287</v>
      </c>
      <c r="B6" s="7">
        <f>COUNTIF(Screening!I2:I51,"include")</f>
        <v>24</v>
      </c>
      <c r="C6" s="8">
        <f>IF(B3&gt;0,B7/B3,"")</f>
        <v>0.47826086956521741</v>
      </c>
    </row>
    <row r="7" spans="1:3" ht="21">
      <c r="A7" s="3" t="s">
        <v>288</v>
      </c>
      <c r="B7" s="7">
        <f>COUNTIF(Screening!I2:I51,"exclude")</f>
        <v>22</v>
      </c>
      <c r="C7" s="8">
        <f>IF(B3&gt;0,B8/B3,"")</f>
        <v>0</v>
      </c>
    </row>
    <row r="8" spans="1:3" ht="21">
      <c r="A8" s="3" t="s">
        <v>289</v>
      </c>
      <c r="B8" s="7">
        <f>COUNTIF(Screening!I2:I51,"maybe")</f>
        <v>0</v>
      </c>
      <c r="C8" s="8">
        <f>IF(B3&gt;0,B9/B3,"")</f>
        <v>0</v>
      </c>
    </row>
  </sheetData>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Aleix Moreno Telesforo</cp:lastModifiedBy>
  <cp:revision/>
  <dcterms:created xsi:type="dcterms:W3CDTF">2026-03-14T15:25:39Z</dcterms:created>
  <dcterms:modified xsi:type="dcterms:W3CDTF">2026-03-15T16:30:02Z</dcterms:modified>
  <cp:category/>
  <cp:contentStatus/>
</cp:coreProperties>
</file>