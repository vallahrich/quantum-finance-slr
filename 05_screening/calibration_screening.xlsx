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Screening" sheetId="2" state="visible" r:id="rId2"/>
    <sheet name="Progress" sheetId="3" state="visible" r:id="rId3"/>
  </sheets>
  <definedNames>
    <definedName name="_xlnm._FilterDatabase" localSheetId="1" hidden="1">'Screening'!$A$1:$L$51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Segoe UI"/>
      <b val="1"/>
      <color rgb="000078D4"/>
      <sz val="14"/>
    </font>
    <font>
      <name val="Segoe UI"/>
      <sz val="11"/>
    </font>
    <font>
      <name val="Segoe UI"/>
      <b val="1"/>
      <sz val="11"/>
    </font>
    <font>
      <name val="Segoe UI"/>
      <b val="1"/>
      <color rgb="00FFFFFF"/>
      <sz val="11"/>
    </font>
    <font>
      <name val="Segoe UI"/>
      <sz val="10"/>
    </font>
    <font>
      <name val="Segoe UI"/>
      <b val="1"/>
      <sz val="14"/>
    </font>
  </fonts>
  <fills count="4">
    <fill>
      <patternFill/>
    </fill>
    <fill>
      <patternFill patternType="gray125"/>
    </fill>
    <fill>
      <patternFill patternType="solid">
        <fgColor rgb="000078D4"/>
        <bgColor rgb="000078D4"/>
      </patternFill>
    </fill>
    <fill>
      <patternFill patternType="solid">
        <fgColor rgb="0000B050"/>
        <bgColor rgb="0000B05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4" fillId="3" borderId="0" applyAlignment="1" pivotButton="0" quotePrefix="0" xfId="0">
      <alignment horizontal="center" vertical="center" wrapText="1"/>
    </xf>
    <xf numFmtId="0" fontId="6" fillId="0" borderId="0" applyAlignment="1" pivotButton="0" quotePrefix="0" xfId="0">
      <alignment horizontal="center"/>
    </xf>
    <xf numFmtId="164" fontId="2" fillId="0" borderId="0" applyAlignment="1" pivotButton="0" quotePrefix="0" xfId="0">
      <alignment horizontal="center"/>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78D4"/>
    <outlinePr summaryBelow="1" summaryRight="1"/>
    <pageSetUpPr/>
  </sheetPr>
  <dimension ref="A1:A32"/>
  <sheetViews>
    <sheetView workbookViewId="0">
      <selection activeCell="A1" sqref="A1"/>
    </sheetView>
  </sheetViews>
  <sheetFormatPr baseColWidth="8" defaultRowHeight="15"/>
  <cols>
    <col width="90" customWidth="1" min="1" max="1"/>
  </cols>
  <sheetData>
    <row r="1">
      <c r="A1" s="1" t="inlineStr">
        <is>
          <t>Title/Abstract Screening — Instructions</t>
        </is>
      </c>
    </row>
    <row r="2">
      <c r="A2" s="2" t="inlineStr"/>
    </row>
    <row r="3">
      <c r="A3" s="3" t="inlineStr">
        <is>
          <t>This is the CALIBRATION file — both reviewers screen the same 50 records.</t>
        </is>
      </c>
    </row>
    <row r="4">
      <c r="A4" s="2" t="inlineStr">
        <is>
          <t>Fill YOUR column only (Reviewer A Decision or Reviewer B Decision).</t>
        </is>
      </c>
    </row>
    <row r="5">
      <c r="A5" s="2" t="inlineStr"/>
    </row>
    <row r="6">
      <c r="A6" s="3" t="inlineStr">
        <is>
          <t>GOAL</t>
        </is>
      </c>
    </row>
    <row r="7">
      <c r="A7" s="2" t="inlineStr">
        <is>
          <t>Decide whether each paper should be INCLUDED or EXCLUDED based on its title and abstract. This is Stage A (broad mapping) — when in doubt, INCLUDE.</t>
        </is>
      </c>
    </row>
    <row r="8">
      <c r="A8" s="2" t="inlineStr"/>
    </row>
    <row r="9">
      <c r="A9" s="3" t="inlineStr">
        <is>
          <t>INCLUSION CRITERIA (all must hold):</t>
        </is>
      </c>
    </row>
    <row r="10">
      <c r="A10" s="2" t="inlineStr">
        <is>
          <t xml:space="preserve">  1. Uses or proposes a gate-based quantum computing approach</t>
        </is>
      </c>
    </row>
    <row r="11">
      <c r="A11" s="2" t="inlineStr">
        <is>
          <t xml:space="preserve">  2. Addresses a financial application or use case</t>
        </is>
      </c>
    </row>
    <row r="12">
      <c r="A12" s="2" t="inlineStr">
        <is>
          <t xml:space="preserve">  3. Contains enough detail to extract: problem family, quantum method, evaluation type</t>
        </is>
      </c>
    </row>
    <row r="13">
      <c r="A13" s="2" t="inlineStr"/>
    </row>
    <row r="14">
      <c r="A14" s="3" t="inlineStr">
        <is>
          <t>QUICK EXCLUSION RULES:</t>
        </is>
      </c>
    </row>
    <row r="15">
      <c r="A15" s="2" t="inlineStr">
        <is>
          <t xml:space="preserve">  - Quantum annealing ONLY (no gate-based component) -&gt; exclude</t>
        </is>
      </c>
    </row>
    <row r="16">
      <c r="A16" s="2" t="inlineStr">
        <is>
          <t xml:space="preserve">  - Quantum-inspired classical algorithms -&gt; exclude</t>
        </is>
      </c>
    </row>
    <row r="17">
      <c r="A17" s="2" t="inlineStr">
        <is>
          <t xml:space="preserve">  - Not finance (chemistry, logistics, etc.) -&gt; exclude</t>
        </is>
      </c>
    </row>
    <row r="18">
      <c r="A18" s="2" t="inlineStr">
        <is>
          <t xml:space="preserve">  - Pure hardware, no application -&gt; exclude</t>
        </is>
      </c>
    </row>
    <row r="19">
      <c r="A19" s="2" t="inlineStr">
        <is>
          <t xml:space="preserve">  - Survey/review papers -&gt; exclude (used for snowballing only)</t>
        </is>
      </c>
    </row>
    <row r="20">
      <c r="A20" s="2" t="inlineStr">
        <is>
          <t xml:space="preserve">  - Non-English -&gt; exclude</t>
        </is>
      </c>
    </row>
    <row r="21">
      <c r="A21" s="2" t="inlineStr"/>
    </row>
    <row r="22">
      <c r="A22" s="3" t="inlineStr">
        <is>
          <t>HOW TO SCREEN:</t>
        </is>
      </c>
    </row>
    <row r="23">
      <c r="A23" s="2" t="inlineStr">
        <is>
          <t xml:space="preserve">  1. Go to the 'Screening' sheet</t>
        </is>
      </c>
    </row>
    <row r="24">
      <c r="A24" s="2" t="inlineStr">
        <is>
          <t xml:space="preserve">  2. Read the Title and Abstract for each row</t>
        </is>
      </c>
    </row>
    <row r="25">
      <c r="A25" s="2" t="inlineStr">
        <is>
          <t xml:space="preserve">  3. Click the Decision column and select: include / exclude / maybe</t>
        </is>
      </c>
    </row>
    <row r="26">
      <c r="A26" s="2" t="inlineStr">
        <is>
          <t xml:space="preserve">  4. Add notes if helpful (especially for 'maybe' decisions)</t>
        </is>
      </c>
    </row>
    <row r="27">
      <c r="A27" s="2" t="inlineStr">
        <is>
          <t xml:space="preserve">  5. The row will auto-colour: green=include, red=exclude, yellow=maybe</t>
        </is>
      </c>
    </row>
    <row r="28">
      <c r="A28" s="2" t="inlineStr"/>
    </row>
    <row r="29">
      <c r="A29" s="3" t="inlineStr">
        <is>
          <t>WHEN IN DOUBT -&gt; choose 'maybe' (will be discussed jointly)</t>
        </is>
      </c>
    </row>
    <row r="30">
      <c r="A30" s="2" t="inlineStr"/>
    </row>
    <row r="31">
      <c r="A31" s="3" t="inlineStr">
        <is>
          <t>PROGRESS:</t>
        </is>
      </c>
    </row>
    <row r="32">
      <c r="A32" s="2" t="inlineStr">
        <is>
          <t xml:space="preserve">  Check the 'Progress' sheet to see how many you have left.</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L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50" customWidth="1" min="3" max="3"/>
    <col width="30" customWidth="1" min="4" max="4"/>
    <col width="7" customWidth="1" min="5" max="5"/>
    <col width="22" customWidth="1" min="6" max="6"/>
    <col width="70" customWidth="1" min="7" max="7"/>
    <col width="12" customWidth="1" min="8" max="8"/>
    <col width="18" customWidth="1" min="9" max="9"/>
    <col width="18" customWidth="1" min="10" max="10"/>
    <col width="16" customWidth="1" min="11" max="11"/>
    <col width="30" customWidth="1" min="12" max="12"/>
  </cols>
  <sheetData>
    <row r="1">
      <c r="A1" s="4" t="inlineStr">
        <is>
          <t>#</t>
        </is>
      </c>
      <c r="B1" s="4" t="inlineStr">
        <is>
          <t>Paper ID</t>
        </is>
      </c>
      <c r="C1" s="4" t="inlineStr">
        <is>
          <t>Title</t>
        </is>
      </c>
      <c r="D1" s="4" t="inlineStr">
        <is>
          <t>Authors</t>
        </is>
      </c>
      <c r="E1" s="4" t="inlineStr">
        <is>
          <t>Year</t>
        </is>
      </c>
      <c r="F1" s="4" t="inlineStr">
        <is>
          <t>DOI</t>
        </is>
      </c>
      <c r="G1" s="4" t="inlineStr">
        <is>
          <t>Abstract</t>
        </is>
      </c>
      <c r="H1" s="4" t="inlineStr">
        <is>
          <t>Source</t>
        </is>
      </c>
      <c r="I1" s="4" t="inlineStr">
        <is>
          <t>Reviewer A Decision</t>
        </is>
      </c>
      <c r="J1" s="4" t="inlineStr">
        <is>
          <t>Reviewer B Decision</t>
        </is>
      </c>
      <c r="K1" s="4" t="inlineStr">
        <is>
          <t>Final Decision</t>
        </is>
      </c>
      <c r="L1" s="4" t="inlineStr">
        <is>
          <t>Notes</t>
        </is>
      </c>
    </row>
    <row r="2">
      <c r="A2" s="5" t="n">
        <v>1</v>
      </c>
      <c r="B2" s="5" t="inlineStr">
        <is>
          <t>d5ae35f1622f</t>
        </is>
      </c>
      <c r="C2" s="5" t="inlineStr">
        <is>
          <t>Binding energy of polaronic trions and biexcitons in CsPbBr$_3$ nanocrystals</t>
        </is>
      </c>
      <c r="D2" s="5" t="inlineStr">
        <is>
          <t>Jose L. Movilla; Josep Planelles; Juan I. Climente</t>
        </is>
      </c>
      <c r="E2" s="5" t="inlineStr">
        <is>
          <t>2024</t>
        </is>
      </c>
      <c r="F2" s="5" t="inlineStr">
        <is>
          <t>10.1103/PhysRevB.111.155304</t>
        </is>
      </c>
      <c r="G2" s="5" t="inlineStr">
        <is>
          <t>The effect of polaron formation on the ground state of excitons, trions and biexcitons confined in CsPbBr$_3$ nanocrystals is studied in the framework of effective mass Hamiltonians, using a Haken-like (Bajaj) potential for carrier-phonon coupling. The binding energy of trions agrees well with that observed in experiments, with position-dependent dielectric screening playing a significant role. For biexcitons, however, neither polaronic effects, nor dielectric confinement, nor electronic correlations -- here accounted for with a variational Quantum Monte Carlo method -- suffice to explain the large binding energies reported by single nanocrystal spectroscopy experiments. This result reinforces the hypothesis that biexcitons polarize the perovskite lattice differently from excitons and trions.</t>
        </is>
      </c>
      <c r="H2" s="5" t="inlineStr">
        <is>
          <t>arxiv</t>
        </is>
      </c>
      <c r="I2" s="5" t="n"/>
      <c r="J2" s="5" t="n"/>
      <c r="K2" s="5" t="n"/>
      <c r="L2" s="5" t="n"/>
    </row>
    <row r="3">
      <c r="A3" s="5" t="n">
        <v>2</v>
      </c>
      <c r="B3" s="5" t="inlineStr">
        <is>
          <t>136790c5fbc5</t>
        </is>
      </c>
      <c r="C3" s="5" t="inlineStr">
        <is>
          <t>Space and Time Cost of Continuous Rotations in Surface Codes</t>
        </is>
      </c>
      <c r="D3" s="5" t="inlineStr">
        <is>
          <t>Zhu Sun; Balint Koczor</t>
        </is>
      </c>
      <c r="E3" s="5" t="inlineStr">
        <is>
          <t>2025</t>
        </is>
      </c>
      <c r="F3" s="5" t="inlineStr"/>
      <c r="G3" s="5" t="inlineStr">
        <is>
          <t>While Clifford operations are relatively easy to implement in fault-tolerant quantum computers,continuous rotation gates remain a significant bottleneck in typical quantum algorithms. In this work, we ask the question: "What is the most efficient approach for implementing continuous rotations in a surface code architecture?" Several techniques have been developed to reduce the T-count or T-depth of rotations, such as Hamming weight phasing and catalyst towers. However, these methods often require additional a number of ancilla qubits, and thus the ultimate cost function one needs to optimise against should rather be the total runtime or the total space required for performing a rotation. We explicitly construct surface code layouts for catalyst towers in two practical application examples in the context of option pricing: (a) implementing a phase oracle circuit, which is a ubiquitous subroutine in many quantum algorithms, and (b) state preparation using a variational quantum circuit. Our analysis shows that, at small and medium code distances, catalyst towers not only reduce the runtime but can also decrease the total spacetime volume of rotations. However, at large code distances, conventional Clifford+T synthesis may prove more efficient. Additionally, we note that our conclusions are sensitive to specific application scenarios and the choices of various parameters. Nevertheless, catalyst towers may be particularly advantageous for early fault-tolerant quantum applications, where low and medium code distances are assumed and a spacetime tradeoff is needed to reduce the runtime of individual circuit runs, such as in scenarios involving high circuit repetition counts.</t>
        </is>
      </c>
      <c r="H3" s="5" t="inlineStr">
        <is>
          <t>arxiv</t>
        </is>
      </c>
      <c r="I3" s="5" t="n"/>
      <c r="J3" s="5" t="n"/>
      <c r="K3" s="5" t="n"/>
      <c r="L3" s="5" t="n"/>
    </row>
    <row r="4">
      <c r="A4" s="5" t="n">
        <v>3</v>
      </c>
      <c r="B4" s="5" t="inlineStr">
        <is>
          <t>bed0cb4f88b7</t>
        </is>
      </c>
      <c r="C4" s="5" t="inlineStr">
        <is>
          <t>Genetic and phenotypic evidence suggest the existence of indigenous olive population of wild var. sylvestris in the Carmel coast, southern Levant</t>
        </is>
      </c>
      <c r="D4" s="5" t="inlineStr">
        <is>
          <t>Elad Ben-Dor; Arnon Dag; Amir Perelberg; Tao Chen; Yoav Ben Dor; Dvora Low Ramati; Zipora Tietel; Ehud Galili; Berthold Heinze; Oz Barazani</t>
        </is>
      </c>
      <c r="E4" s="5" t="inlineStr">
        <is>
          <t>2024</t>
        </is>
      </c>
      <c r="F4" s="5" t="inlineStr">
        <is>
          <t>10.1186/s12870-024-05575-7</t>
        </is>
      </c>
      <c r="G4" s="5" t="inlineStr"/>
      <c r="H4" s="5" t="inlineStr">
        <is>
          <t>openalex</t>
        </is>
      </c>
      <c r="I4" s="5" t="n"/>
      <c r="J4" s="5" t="n"/>
      <c r="K4" s="5" t="n"/>
      <c r="L4" s="5" t="n"/>
    </row>
    <row r="5">
      <c r="A5" s="5" t="n">
        <v>4</v>
      </c>
      <c r="B5" s="5" t="inlineStr">
        <is>
          <t>2e578046bd76</t>
        </is>
      </c>
      <c r="C5" s="5" t="inlineStr">
        <is>
          <t>Development of post-quantum cryptosystems based on the Rao-Nam scheme</t>
        </is>
      </c>
      <c r="D5" s="5" t="inlineStr">
        <is>
          <t>Yevgen Melenti; Olha Korol; Volodymyr Shulha; Stanislav Milevskyi; Олександр Сєвєрінов; Олександр Войтко; Khazail Rzayev; Ірина Гусарова; Serhii Kravchenko; Sevinj Pashayeva</t>
        </is>
      </c>
      <c r="E5" s="5" t="inlineStr">
        <is>
          <t>2025</t>
        </is>
      </c>
      <c r="F5" s="5" t="inlineStr">
        <is>
          <t>10.15587/1729-4061.2025.323195</t>
        </is>
      </c>
      <c r="G5" s="5" t="inlineStr">
        <is>
          <t>The object of the research is the process of ensuring the protection of data transmission in communication channels of critical infrastructure objects based on mobile and smart technologies. The development of quantum computing technologies based on Grover and Shor algorithms provides practical cracking of symmetric and asymmetric cryptosystems in polynomial time. The emergence of systems based on artificial intelligence allows creating hybrid systems for detecting weaknesses (critical points) in security systems not only on critical infrastructure objects. In addition, a full-scale quantum computer will open a new era of implementing post-quantum cryptography algorithms. Among the winners of post-quantum algorithms, the crypto-code constructions (CCC) of McEliece and Niederreiter are separately highlighted, which allow to provide the required level of protection and the required level of reliability of information transmission in an integrated manner. But a significant drawback is the possibility of cracking such systems on linear codes, as well as the need to build them on the Galois field 210–213, which significantly reduces their use in low-capacity systems based on smart and mobile technologies. To solve this drawback, the work proposes the use of a symmetric CCC based on the Rao-Nam scheme on algebrogeometric and flawed codes, which provides the possibility of significantly reducing the volume of key data (construction of CCC over the Galois field 24–26). When using the Rao-Nam CCC, a quantum symmetric algorithm is formed, which ensures the preservation of the level of stability and reliability of information transmission (safe time 1025–1035). This approach provides the possibility of forming intelligent information protection systems (IIPS). The given structural scheme of the IIPS construction ensures timely detection of threats with an assessment of the computational and financial and human capabilities of attackers, as well as the use of the necessary CCC/algebraic (flawed) codes to ensure the required level of security</t>
        </is>
      </c>
      <c r="H5" s="5" t="inlineStr">
        <is>
          <t>openalex</t>
        </is>
      </c>
      <c r="I5" s="5" t="n"/>
      <c r="J5" s="5" t="n"/>
      <c r="K5" s="5" t="n"/>
      <c r="L5" s="5" t="n"/>
    </row>
    <row r="6">
      <c r="A6" s="5" t="n">
        <v>5</v>
      </c>
      <c r="B6" s="5" t="inlineStr">
        <is>
          <t>345cbd77acf3</t>
        </is>
      </c>
      <c r="C6" s="5" t="inlineStr">
        <is>
          <t>Efficient Pause Location Prediction Using Quantum Annealing Simulations and Machine Learning</t>
        </is>
      </c>
      <c r="D6" s="5" t="inlineStr">
        <is>
          <t>Michael R. Zielewski; Keichi Takahashi; Yoichi Shimomura; Hiroyuki Takizawa</t>
        </is>
      </c>
      <c r="E6" s="5" t="inlineStr">
        <is>
          <t>2023</t>
        </is>
      </c>
      <c r="F6" s="5" t="inlineStr">
        <is>
          <t>10.1109/access.2023.3317698</t>
        </is>
      </c>
      <c r="G6" s="5" t="inlineStr">
        <is>
          <t>Despite increases in qubit count and connectivity in quantum annealers, a quantum speedup has yet to be observed for problems of practical significance. In order to further improve annealer performance, some researchers focus on tuning annealer parameters, such as the annealing schedule. In this work, we focus on pausing, an annealing schedule modification that has been shown to improve the probability of solving an optimization problem by orders of magnitude. However, a challenge associated with pausing is selecting an appropriate pause location, as pausing is only effective in problem-dependent regions and ineffective elsewhere. Moreover, there is little advice on how to determine where pausing is effective. Thus, pausing effectively is difficult and often inaccessible to the majority of users. To address these issues, we propose a data-driven method that leverages machine learning to predict optimal pause locations. First, we construct a dataset consisting of optimization problems and their corresponding optimal pause locations. The optimal pause locations are determined using spin-vector Monte Carlo, a method known to yield results similar to quantum annealing. Next, we train a convolutional neural network on this dataset, demonstrating its ability to distinguish between problem types and accurately predict the optimal pause location. Finally, we evaluate the model on multiple types of optimization problems. Our results show that the pause locations predicted by our method improve solution quality for all selected problem types. Additionally, our model can be pre-trained and easily distributed, making the power of pausing accessible to users unfamiliar with annealing schedule modifications.</t>
        </is>
      </c>
      <c r="H6" s="5" t="inlineStr">
        <is>
          <t>openalex</t>
        </is>
      </c>
      <c r="I6" s="5" t="n"/>
      <c r="J6" s="5" t="n"/>
      <c r="K6" s="5" t="n"/>
      <c r="L6" s="5" t="n"/>
    </row>
    <row r="7">
      <c r="A7" s="5" t="n">
        <v>6</v>
      </c>
      <c r="B7" s="5" t="inlineStr">
        <is>
          <t>b1dec1d51695</t>
        </is>
      </c>
      <c r="C7" s="5" t="inlineStr">
        <is>
          <t>Finite temperature electronic simulations beyond the Born-Oppenheimer approximation</t>
        </is>
      </c>
      <c r="D7" s="5" t="inlineStr">
        <is>
          <t>Guglielmo Mazzola; Andrea Zen; Sandro Sorella</t>
        </is>
      </c>
      <c r="E7" s="5" t="inlineStr">
        <is>
          <t>2012</t>
        </is>
      </c>
      <c r="F7" s="5" t="inlineStr">
        <is>
          <t>10.1063/1.4755992</t>
        </is>
      </c>
      <c r="G7" s="5" t="inlineStr">
        <is>
          <t>We introduce a general technique to compute finite temperature electronic properties by a novel covariant formulation of the electronic partition function. By using a rigorous variational upper bound to the free energy we are led to the evaluation of a partition function that can be computed stochastically by sampling electronic wave functions and atomic positions (assumed classical). In order to achieve this target we show that it is extremely important to consider the non trivial geometry of the space defined by the wave function ansatz. The method can be extended to any technique capable to provide an energy value over a given wave function ansatz depending on several variational parameters and atomic positions. In particular we can take into account electronic correlation, by using the standard variational quantum Monte Carlo method, that has been so far limited to zero temperature ground state properties. We show that our approximation reduces correctly to the standard Born-Oppenheimer (BO) one at zero temperature and to the correct high temperature limit. At large enough temperatures this method allows to improve the BO, providing lower values of the electronic free energy, because within this method it is possible to take into account the electron entropy. We test this new method on the simple hydrogen molecule, where at low temperature we recover the correct BO low temperature limit. Moreover, we show that the dissociation of the molecule is possible at a temperature much smaller than the BO prediction. Several extension of the proposed technique are also discussed, as for instance the calculation of critical (magnetic, superconducting) temperatures, or transition rates in chemical reactions.</t>
        </is>
      </c>
      <c r="H7" s="5" t="inlineStr">
        <is>
          <t>arxiv</t>
        </is>
      </c>
      <c r="I7" s="5" t="n"/>
      <c r="J7" s="5" t="n"/>
      <c r="K7" s="5" t="n"/>
      <c r="L7" s="5" t="n"/>
    </row>
    <row r="8">
      <c r="A8" s="5" t="n">
        <v>7</v>
      </c>
      <c r="B8" s="5" t="inlineStr">
        <is>
          <t>13f58293deff</t>
        </is>
      </c>
      <c r="C8" s="5" t="inlineStr">
        <is>
          <t>Single-ancilla ground state preparation via Lindbladians</t>
        </is>
      </c>
      <c r="D8" s="5" t="inlineStr">
        <is>
          <t>Zhiyan Ding; Chi-Fang Chen; Lin Lin</t>
        </is>
      </c>
      <c r="E8" s="5" t="inlineStr">
        <is>
          <t>2023</t>
        </is>
      </c>
      <c r="F8" s="5" t="inlineStr">
        <is>
          <t>10.1103/PhysRevResearch.6.033147</t>
        </is>
      </c>
      <c r="G8" s="5" t="inlineStr">
        <is>
          <t>We design a quantum algorithm for ground state preparation in the early fault tolerant regime. As a Monte Carlo-style quantum algorithm, our method features a Lindbladian where the target state is stationary. The construction of this Lindbladian is algorithmic and should not be seen as a specific approximation to some weakly coupled system-bath dynamics in nature. Our algorithm can be implemented using just one ancilla qubit and efficiently simulated on a quantum computer. It can prepare the ground state even when the initial state has zero overlap with the ground state, bypassing the most significant limitation of methods like quantum phase estimation. As a variant, we also propose a discrete-time algorithm, demonstrating even better efficiency and providing a near-optimal simulation cost depending on the desired evolution time and precision. Numerical simulation using Ising and Hubbard models demonstrates the efficacy and applicability of our method.</t>
        </is>
      </c>
      <c r="H8" s="5" t="inlineStr">
        <is>
          <t>arxiv</t>
        </is>
      </c>
      <c r="I8" s="5" t="n"/>
      <c r="J8" s="5" t="n"/>
      <c r="K8" s="5" t="n"/>
      <c r="L8" s="5" t="n"/>
    </row>
    <row r="9">
      <c r="A9" s="5" t="n">
        <v>8</v>
      </c>
      <c r="B9" s="5" t="inlineStr">
        <is>
          <t>817a88c22208</t>
        </is>
      </c>
      <c r="C9" s="5" t="inlineStr">
        <is>
          <t>Provable Dual Attacks on Learning with Errors</t>
        </is>
      </c>
      <c r="D9" s="5" t="inlineStr">
        <is>
          <t>Pouly A.</t>
        </is>
      </c>
      <c r="E9" s="5" t="inlineStr">
        <is>
          <t>2024</t>
        </is>
      </c>
      <c r="F9" s="5" t="inlineStr">
        <is>
          <t>10.1007/978-3-031-58754-2_10</t>
        </is>
      </c>
      <c r="G9" s="5" t="inlineStr"/>
      <c r="H9" s="5" t="inlineStr">
        <is>
          <t>scopus</t>
        </is>
      </c>
      <c r="I9" s="5" t="n"/>
      <c r="J9" s="5" t="n"/>
      <c r="K9" s="5" t="n"/>
      <c r="L9" s="5" t="n"/>
    </row>
    <row r="10">
      <c r="A10" s="5" t="n">
        <v>9</v>
      </c>
      <c r="B10" s="5" t="inlineStr">
        <is>
          <t>acd19d9df09a</t>
        </is>
      </c>
      <c r="C10" s="5" t="inlineStr">
        <is>
          <t>An algorithm for simulating the Ising model on a type-II quantum computer</t>
        </is>
      </c>
      <c r="D10" s="5" t="inlineStr">
        <is>
          <t>J. H. Cole; L. C. L. Hollenberg; S. Prawer</t>
        </is>
      </c>
      <c r="E10" s="5" t="inlineStr">
        <is>
          <t>2004</t>
        </is>
      </c>
      <c r="F10" s="5" t="inlineStr">
        <is>
          <t>10.1016/j.cpc.2004.04.003</t>
        </is>
      </c>
      <c r="G10" s="5" t="inlineStr">
        <is>
          <t>Presented here is an algorithm for a type-II quantum computer which simulates the Ising model in one and two dimensions. It is equivalent to the Metropolis Monte-Carlo method and takes advantage of quantum superposition for random number generation. This algorithm does not require the ensemble of states to be measured at the end of each iteration, as is required for other type-II algorithms. Only the binary result is measured at each node which means this algorithm could be implemented using a range of different quantum computing architectures. The Ising model provides an example of how cellular automata rules can be formulated to be run on a type-II quantum computer.</t>
        </is>
      </c>
      <c r="H10" s="5" t="inlineStr">
        <is>
          <t>arxiv</t>
        </is>
      </c>
      <c r="I10" s="5" t="n"/>
      <c r="J10" s="5" t="n"/>
      <c r="K10" s="5" t="n"/>
      <c r="L10" s="5" t="n"/>
    </row>
    <row r="11">
      <c r="A11" s="5" t="n">
        <v>10</v>
      </c>
      <c r="B11" s="5" t="inlineStr">
        <is>
          <t>8781b06b4fd6</t>
        </is>
      </c>
      <c r="C11" s="5" t="inlineStr">
        <is>
          <t>Quantum Engineering of Dynamical Gauge Fields on Optical Lattices</t>
        </is>
      </c>
      <c r="D11" s="5" t="inlineStr">
        <is>
          <t>Shan-Wen Tsai; Yannick Meurice</t>
        </is>
      </c>
      <c r="E11" s="5" t="inlineStr">
        <is>
          <t>2016</t>
        </is>
      </c>
      <c r="F11" s="5" t="inlineStr"/>
      <c r="G11" s="5" t="inlineStr">
        <is>
          <t>Abstract : In this project, we have developed a scheme for using cold atom systems on optical lattices as quantum simulators for lattice gauge theories. We designed cold atom experimental setups that could be used to learn about the phase diagrams of Lattice Gauge Theory models and real time evolution, which cannot be studied using conventional methods. We first constructed a sequence of theoretical steps connecting the classical O(2) model in 1+1 dimensions to a boson model that can be implemented on optical lattices, showing a proof-of-principle that quantum computing via optical lattices is possible for classical lattice models. We then extended this protocol to limits of the Abelian Higgs model, a model that exhibits important features of QCD such as confinement. Our results include construction of effective actions, testing with Monte Carlo simulations, tensor renormalization group technique development and application, mappings to quantum spin and boson Hamiltonians, and analysis of candidate systems for experimental realization. We verified that in the superfluid phase the central charge can be extracted from the entanglement entropy as predicted by conformal symmetry. We calculated and compared the Polyakov loop, an order parameter for confinement, in the two formulations, and propose that it can be a useful quantity to probe experimentally. The results from our project opens the door for exciting new research directions, such as quantum simulation of the Schwinger model and of non-Abelian models.</t>
        </is>
      </c>
      <c r="H11" s="5" t="inlineStr">
        <is>
          <t>openalex</t>
        </is>
      </c>
      <c r="I11" s="5" t="n"/>
      <c r="J11" s="5" t="n"/>
      <c r="K11" s="5" t="n"/>
      <c r="L11" s="5" t="n"/>
    </row>
    <row r="12">
      <c r="A12" s="5" t="n">
        <v>11</v>
      </c>
      <c r="B12" s="5" t="inlineStr">
        <is>
          <t>1563ac0e1f56</t>
        </is>
      </c>
      <c r="C12" s="5" t="inlineStr">
        <is>
          <t>Quantum algorithm for the collision-coalescence of cloud droplets</t>
        </is>
      </c>
      <c r="D12" s="5" t="inlineStr">
        <is>
          <t>Kazumasa Ueno; Hiroaki Miura</t>
        </is>
      </c>
      <c r="E12" s="5" t="inlineStr">
        <is>
          <t>2026</t>
        </is>
      </c>
      <c r="F12" s="5" t="inlineStr"/>
      <c r="G12" s="5" t="inlineStr">
        <is>
          <t>Quantum computing is gaining attention as a new approach for solving complex problems in many scientific fields. In atmospheric and oceanic sciences, it may help reduce computational costs of simulating large and nonlinear systems. However, research into the use of quantum computers in this area is still in its earlier stage, and suitable applications have not been established yet. This study explores the use of quantum computing for calculating the collision-coalescence process of cloud droplets, which dominates the size growth of liquid particles in the cloud microphysics. Inspired by the quantum algorithms developed in the field of financial engineering, we propose a new algorithm based on a master equation that describes the time evolution of the droplet mass distribution. Our algorithm uses the quantum amplitudes to encode the probability distribution of droplet mass and calculates the expected number of droplets via the quantum amplitude estimation. Our resource analysis shows that the number of T gates scales as $O(N^2)$, where $N$ is the number of bins of the mass distributions. This is an essential improvement over the classical methods that scale only exponentially with $N$. This efficiency improvement is achieved by using quantum arithmetic in the superposition and by encoding the transition histories instead of the full distributions at each time step. Our results suggest that the collision-coalescence process is one of the promising targets of quantum computing in the field of atmospheric science.</t>
        </is>
      </c>
      <c r="H12" s="5" t="inlineStr">
        <is>
          <t>arxiv</t>
        </is>
      </c>
      <c r="I12" s="5" t="n"/>
      <c r="J12" s="5" t="n"/>
      <c r="K12" s="5" t="n"/>
      <c r="L12" s="5" t="n"/>
    </row>
    <row r="13">
      <c r="A13" s="5" t="n">
        <v>12</v>
      </c>
      <c r="B13" s="5" t="inlineStr">
        <is>
          <t>fbec16f60f72</t>
        </is>
      </c>
      <c r="C13" s="5" t="inlineStr">
        <is>
          <t>Exponential Improvement on Asian Option Pricing Through Quantum Preconditioning Methods</t>
        </is>
      </c>
      <c r="D13" s="5" t="inlineStr">
        <is>
          <t>Gumaro Rendon; Rutuja Kshirsagar; Quoc Hoan Tran</t>
        </is>
      </c>
      <c r="E13" s="5" t="inlineStr">
        <is>
          <t>2025</t>
        </is>
      </c>
      <c r="F13" s="5" t="inlineStr"/>
      <c r="G13" s="5" t="inlineStr">
        <is>
          <t>In this work, we present a quantum algorithm designed to solve the differential equation used in the pricing of Asian options, in the framework of the Black-Scholes model. Our approach modifies an existing quantum pre-conditioning method (different from classical methods) for the problem of Asian option pricing such that we remove the dependence on the original condition number of discretized differential equation (system of linear equations). This was possible with new fast-forwardable discretizations of the first and second derivatives with respect to the underlying asset value ratio (value over average). We determine that these discretizations handle well kinks in the initial/terminal conditions. We also introduce a new circuit construction for the discretized time-derivative operator with Dirichlet boundary conditions which avoids the oracle workspace needed for the general sparse matrix implementation. Here, we also devised a new method probability integral estimation from which we extract the solution, achieving $\tilde{O}({\rm polylog}\left(1/ε)\right)$, which is an exponential improvement over other quantum methods when it comes to solution information extraction from the solution state.</t>
        </is>
      </c>
      <c r="H13" s="5" t="inlineStr">
        <is>
          <t>arxiv</t>
        </is>
      </c>
      <c r="I13" s="5" t="n"/>
      <c r="J13" s="5" t="n"/>
      <c r="K13" s="5" t="n"/>
      <c r="L13" s="5" t="n"/>
    </row>
    <row r="14">
      <c r="A14" s="5" t="n">
        <v>13</v>
      </c>
      <c r="B14" s="5" t="inlineStr">
        <is>
          <t>67d46e29ec7f</t>
        </is>
      </c>
      <c r="C14" s="5" t="inlineStr">
        <is>
          <t>Gaussian Boson Sampling for binary optimization</t>
        </is>
      </c>
      <c r="D14" s="5" t="inlineStr">
        <is>
          <t>Jean Cazalis; Yahui Chai; Karl Jansen; Stefan Kühn; Tirth Shah</t>
        </is>
      </c>
      <c r="E14" s="5" t="inlineStr">
        <is>
          <t>2023</t>
        </is>
      </c>
      <c r="F14" s="5" t="inlineStr">
        <is>
          <t>10.1109/QCE57702.2023.10268</t>
        </is>
      </c>
      <c r="G14" s="5" t="inlineStr">
        <is>
          <t>In this study, we consider a Gaussian Boson Sampler for solving a Flight Gate Assignment problem. We employ a Variational Quantum Eigensolver approach using the Conditional Value-at-risk cost function. We provide proof of principle by carrying out numerical simulations on randomly generated instances.</t>
        </is>
      </c>
      <c r="H14" s="5" t="inlineStr">
        <is>
          <t>arxiv</t>
        </is>
      </c>
      <c r="I14" s="5" t="n"/>
      <c r="J14" s="5" t="n"/>
      <c r="K14" s="5" t="n"/>
      <c r="L14" s="5" t="n"/>
    </row>
    <row r="15">
      <c r="A15" s="5" t="n">
        <v>14</v>
      </c>
      <c r="B15" s="5" t="inlineStr">
        <is>
          <t>c4061ff11b8d</t>
        </is>
      </c>
      <c r="C15" s="5" t="inlineStr">
        <is>
          <t>AI-Powered Predictive Analytics for Financial Forecasting and Strategic Insight</t>
        </is>
      </c>
      <c r="D15" s="5" t="inlineStr">
        <is>
          <t>Umer Mukthar Mohiddin Hasan; Shreevamshi N Dr. Shreevamshi N</t>
        </is>
      </c>
      <c r="E15" s="5" t="inlineStr">
        <is>
          <t>2025</t>
        </is>
      </c>
      <c r="F15" s="5" t="inlineStr">
        <is>
          <t>10.51584/ijrias.2025.10060039</t>
        </is>
      </c>
      <c r="G15" s="5" t="inlineStr">
        <is>
          <t>The rapid evolution of artificial intelligence (AI) has significantly reshaped the financial services landscape, particularly in the domain of predictive analytics. The integration of machine learning (ML), deep learning (DL), and advanced statistical models has empowered financial institutions to forecast market trends, identify anomalies, and enhance investment strategies with improved precision and agility. This chapter explores the theoretical foundations, algorithmic techniques, and practical applications of AI-driven predictive analytics in financial trend forecasting. It traces the progression from traditional statistical methods to dynamic, real-time AI-powered systems fueled by vast datasets and adaptive algorithms. A spectrum of ML models—including decision trees, support vector machines, and neural networks—are examined alongside ensemble approaches such as Random Forest and XGBoost, and time series-oriented deep learning architectures like LSTM and GRU. The chapter focuses on how diverse financial data—including stock prices, interest rates, macroeconomic indicators, and unstructured sources such as news and social media sentiment—can be integrated to develop robust predictive frameworks. It further investigates the incorporation of economic indicators to strengthen contextual forecasting and improve anticipatory decision-making. Real-world case studies in portfolio management, credit analysis, and algorithmic trading are presented to demonstrate applied relevance. The chapter also addresses technical challenges including data quality, overfitting, feature selection, and the interpretability of complex models, emphasizing the need for explainable AI (XAI) in high-stakes financial environments. Ethical considerations such as algorithmic bias, data privacy, and regulatory compliance are critically discussed to highlight the societal responsibilities of AI implementation in finance. Finally, the chapter explores emerging frontiers such as the fusion of AI with edge computing for real-time prediction, reinforcement learning for adaptive strategy optimization, and quantum computing for enhanced analytical depth. Through a synthesis of conceptual insights and empirical evidence, this chapter aims to enrich scholarly and professional discourse on AI-based predictive analytics in finance.</t>
        </is>
      </c>
      <c r="H15" s="5" t="inlineStr">
        <is>
          <t>openalex</t>
        </is>
      </c>
      <c r="I15" s="5" t="n"/>
      <c r="J15" s="5" t="n"/>
      <c r="K15" s="5" t="n"/>
      <c r="L15" s="5" t="n"/>
    </row>
    <row r="16">
      <c r="A16" s="5" t="n">
        <v>15</v>
      </c>
      <c r="B16" s="5" t="inlineStr">
        <is>
          <t>2fa8a733b41d</t>
        </is>
      </c>
      <c r="C16" s="5" t="inlineStr">
        <is>
          <t>Realization of a quantum walk in momentum space with a Bose-Einstein condensate</t>
        </is>
      </c>
      <c r="D16" s="5" t="inlineStr">
        <is>
          <t>Siamak Dadras; Alexander Gresch; Caspar Groiseau; Sandro Wimberger; Gil Summy</t>
        </is>
      </c>
      <c r="E16" s="5" t="inlineStr">
        <is>
          <t>2018</t>
        </is>
      </c>
      <c r="F16" s="5" t="inlineStr"/>
      <c r="G16" s="5" t="inlineStr">
        <is>
          <t>Randomness is the essence of many processes in nature and human society. It can provide important insights into phenomena as diverse as disease transmission, financial markets, and signal processing. Quantum randomness is intrinsically different from classical stochasticity since it is affected by interference and entanglement. This entanglement makes quantum walks promising candidates for the implementation of quantum computational algorithms and as a detector of quantum behavior. We present a discrete-time quantum walk that uses the momentum of ultra-cold rubidium atoms as the walk space and two internal atomic states as the degree of freedom. We demonstrate the principle features of a quantum walk, contrasting them to the behavior of a classical walk. By manipulating either the walk or coin operator we show how the walk dynamics can be biased or reversed. Our walk offers distinct advantages arising from the robustness of its dynamics in momentum space, and extendability to higher dimensions and many-body regimes.</t>
        </is>
      </c>
      <c r="H16" s="5" t="inlineStr">
        <is>
          <t>openalex</t>
        </is>
      </c>
      <c r="I16" s="5" t="n"/>
      <c r="J16" s="5" t="n"/>
      <c r="K16" s="5" t="n"/>
      <c r="L16" s="5" t="n"/>
    </row>
    <row r="17">
      <c r="A17" s="5" t="n">
        <v>16</v>
      </c>
      <c r="B17" s="5" t="inlineStr">
        <is>
          <t>a2aae144f937</t>
        </is>
      </c>
      <c r="C17" s="5" t="inlineStr">
        <is>
          <t>Management of antithrombotic therapy in gonioscopy-assisted transluminal trabeculotomy</t>
        </is>
      </c>
      <c r="D17" s="5" t="inlineStr">
        <is>
          <t>Berire Şeyma Durmuş Ece</t>
        </is>
      </c>
      <c r="E17" s="5" t="inlineStr">
        <is>
          <t>2025</t>
        </is>
      </c>
      <c r="F17" s="5" t="inlineStr">
        <is>
          <t>10.4103/ijo.ijo_2535_24</t>
        </is>
      </c>
      <c r="G17" s="5" t="inlineStr">
        <is>
          <t>Dear Editor, The use of minimally invasive glaucoma surgery (MIGS) techniques is becoming increasingly widespread in the management of glaucoma, with reported outcomes indicating acceptable success rates and fewer potential side effects. The frequency of glaucoma rises with age, and this advancing age may lead to the onset of systemic diseases and the need for anticoagulant and antiplatelet medications. For this reason, while managing glaucoma with current surgical procedures, glaucoma surgeons also have to manage patients’ systemic diseases and the treatments associated with them. The fact that antithrombotic drugs are initiated for different indications, have various mechanisms of action, and require constant updating due to the introduction of new molecules can create challenges for ophthalmologists. The aim of this letter is to highlight recommendations regarding the management of patients’ blood-thinning medications prior to gonioscopy-assisted transluminal trabeculotomy (GATT) surgery. While guidelines provide recommendations on the perioperative management of anticoagulant and antiplatelet medications for various types of surgeries, there are no standardized protocols specifically for ophthalmologic surgeries. In general, anterior segment surgeries are considered low-risk in terms of bleeding, whereas posterior segment surgeries and those performed under retrobulbar anesthesia are regarded as having a moderate to high risk of bleeding.[1] While there is a consensus on the management of antithrombotic therapy during cataract surgery, scientific evidence on its management in glaucoma surgery is limited. The available studies primarily focus on two classical surgical procedures: Trabeculectomy and the implantation of drainage devices. The sudden changes in intraocular pressure that may occur during these surgeries, particularly in the presence of anticoagulant therapy, can increase the risk of bleeding complications such as hyphema, intra-bleb bleeding, and suprachoroidal hemorrhage. Furthermore, the proinflammatory response triggered by bleeding may adversely affect surgical success.[2] GATT differs from classical glaucoma surgeries in terms of the target area and surgical technique. However, the most common postoperative complication is still bleeding-related, hyphema.[3] To the best of our knowledge, there are no studies investigating the impact of antithrombotic therapy on hyphema and other complications during the intraoperative and postoperative periods of GATT. However, Grover et al.[4] reported that the inability to discontinue anticoagulation therapy is considered an absolute contraindication for GATT. However, there is also a view that discontinuation of anticoagulant or antiplatelet therapy is not necessary for ab interno angle-based procedures.[2] Another approach suggests that in procedures targeting the 360-degree trabecular meshwork, such as GATT, antithrombotic therapy should be discontinued due to the risk of shearing iris root vessels. In contrast, for MIGS techniques involving the placement of an implant in the trabecular meshwork, continuing antithrombotic therapy may be considered as the risk of damaging the iris root vessels is lower.[5] This letter aims to emphasize that in studies conducted on GATT, details regarding whether anticoagulant and antiplatelet drugs were used before surgery are often not included. There is a need for studies to determine whether continuing antithrombotic therapy during GATT increases the risk of complications and whether these complications affect long-term surgical success and visual outcomes. Financial support and sponsorship: Nil. Conflicts of interest: There are no conflicts of interest.</t>
        </is>
      </c>
      <c r="H17" s="5" t="inlineStr">
        <is>
          <t>openalex</t>
        </is>
      </c>
      <c r="I17" s="5" t="n"/>
      <c r="J17" s="5" t="n"/>
      <c r="K17" s="5" t="n"/>
      <c r="L17" s="5" t="n"/>
    </row>
    <row r="18">
      <c r="A18" s="5" t="n">
        <v>17</v>
      </c>
      <c r="B18" s="5" t="inlineStr">
        <is>
          <t>2322e385b8e7</t>
        </is>
      </c>
      <c r="C18" s="5" t="inlineStr">
        <is>
          <t>Differential Evolution VQE for Crypto-currency Arbitrage. Quantum Optimization with many local minima</t>
        </is>
      </c>
      <c r="D18" s="5" t="inlineStr">
        <is>
          <t>Gines Carrascal; Beatriz Roman; Guillermo Botella; Alberto del Barrio</t>
        </is>
      </c>
      <c r="E18" s="5" t="inlineStr">
        <is>
          <t>2023</t>
        </is>
      </c>
      <c r="F18" s="5" t="inlineStr"/>
      <c r="G18" s="5" t="inlineStr">
        <is>
          <t>Crypto-currency markets are known to exhibit inefficiencies, which presents opportunities for profitable cyclic transactions or arbitrage, where one currency is traded for another in a way that results in a net gain without incurring any risk. Quantum computing has shown promise in financial applications, particularly in resolving optimization problems like arbitrage. In this paper, we introduce a differential evolution (DE) optimization algorithm for Variational Quantum Eigensolver (VQE) using Qiskit framework. We elucidate the application of crypto-currency arbitrage using different VQE optimizers. Our findings indicate that the proposed DE-based method effectively converges to the optimal solution in scenarios where other commonly used optimizers, such as COBYLA, struggle to find the global minimum. We further test this procedure's feasibility on IBM's real quantum machines up to 127 qubits. With a three-currency scenario, the algorithm converged in 417 steps over a 12-hour period on the "ibm_geneva" machine. These results suggest the potential for achieving a quantum advantage in solving increasingly complex problems.</t>
        </is>
      </c>
      <c r="H18" s="5" t="inlineStr">
        <is>
          <t>arxiv</t>
        </is>
      </c>
      <c r="I18" s="5" t="n"/>
      <c r="J18" s="5" t="n"/>
      <c r="K18" s="5" t="n"/>
      <c r="L18" s="5" t="n"/>
    </row>
    <row r="19">
      <c r="A19" s="5" t="n">
        <v>18</v>
      </c>
      <c r="B19" s="5" t="inlineStr">
        <is>
          <t>af235653c19e</t>
        </is>
      </c>
      <c r="C19" s="5" t="inlineStr">
        <is>
          <t>6th International Conference and Exhibition on Smart Grids and Smart Cities, ISUW 2020</t>
        </is>
      </c>
      <c r="D19" s="5" t="inlineStr"/>
      <c r="E19" s="5" t="inlineStr">
        <is>
          <t>2022</t>
        </is>
      </c>
      <c r="F19" s="5" t="inlineStr"/>
      <c r="G19" s="5" t="inlineStr"/>
      <c r="H19" s="5" t="inlineStr">
        <is>
          <t>scopus</t>
        </is>
      </c>
      <c r="I19" s="5" t="n"/>
      <c r="J19" s="5" t="n"/>
      <c r="K19" s="5" t="n"/>
      <c r="L19" s="5" t="n"/>
    </row>
    <row r="20">
      <c r="A20" s="5" t="n">
        <v>19</v>
      </c>
      <c r="B20" s="5" t="inlineStr">
        <is>
          <t>9beffe0c9ab3</t>
        </is>
      </c>
      <c r="C20" s="5" t="inlineStr">
        <is>
          <t>Ordered Weighted Average Operators Into Deep Learning and Quantum Computing for Algorithmic Trading</t>
        </is>
      </c>
      <c r="D20" s="5" t="inlineStr">
        <is>
          <t>David Alaminos Aguilera; M. Belén Salas Compas; Ana J. Cisneros Ruiz</t>
        </is>
      </c>
      <c r="E20" s="5" t="inlineStr">
        <is>
          <t>2026</t>
        </is>
      </c>
      <c r="F20" s="5" t="inlineStr"/>
      <c r="G20" s="5" t="inlineStr">
        <is>
          <t>Crypto-assets have experienced significant growth in recent years, attracting substantial investments from institutional entities and individual investors alike. This surge in popularity necessitates sophisticated strategies to optimize returns. Concurrently, advancements in machine learning have revolutionized the forecasting of crypto-asset returns, facilitating algorithmic trading. Leveraging robust algorithms, this approach enables comprehensive market exploration and capitalizes on escalating computational capabilities. This manuscript presents a comparative analysis of neural networks, genetic algorithms, and fuzzy logic, framed within the Ordered Weighted Average (OWA) operator paradigm. These methods are integrated with deep learning and quantum computing principles to predict price movements in crypto-assets and other financial indices. Our findings indicate that the Quantum Genetic Algorithm excels in accurately forecasting asset price trends, while the Quantum Fuzzy Approach exhibits comparatively lower precision in predicting cryptocurrency price fluctuations. The empirical analysis employs high-frequency data sampled at 10-, 30-, and 60-minute intervals from October 2021 to February 2023. The dataset encompasses eleven cryptocurrencies (e.g., Bitcoin, Ethereum), ten Fan Tokens, ten NFTs, and nine reference financial indices (including Gold, WTI Oil, S&amp;P 500, and Euro Stoxx 60). The implications of this research extend to the development of advanced algorithmic trading strategies, offering valuable tools for market participants and stakeholders in the financial sector. The methodologies discussed herein provide versatile and quantitative frameworks for analyzing diverse financial markets, highlighting their potential to enhance decision-making and improve investment outcomes.</t>
        </is>
      </c>
      <c r="H20" s="5" t="inlineStr">
        <is>
          <t>openalex</t>
        </is>
      </c>
      <c r="I20" s="5" t="n"/>
      <c r="J20" s="5" t="n"/>
      <c r="K20" s="5" t="n"/>
      <c r="L20" s="5" t="n"/>
    </row>
    <row r="21">
      <c r="A21" s="5" t="n">
        <v>20</v>
      </c>
      <c r="B21" s="5" t="inlineStr">
        <is>
          <t>95f13c6a6ac1</t>
        </is>
      </c>
      <c r="C21" s="5" t="inlineStr">
        <is>
          <t>Quadratic Quantum Variational Monte Carlo</t>
        </is>
      </c>
      <c r="D21" s="5" t="inlineStr">
        <is>
          <t>Su B.</t>
        </is>
      </c>
      <c r="E21" s="5" t="inlineStr">
        <is>
          <t>2024</t>
        </is>
      </c>
      <c r="F21" s="5" t="inlineStr"/>
      <c r="G21" s="5" t="inlineStr"/>
      <c r="H21" s="5" t="inlineStr">
        <is>
          <t>scopus</t>
        </is>
      </c>
      <c r="I21" s="5" t="n"/>
      <c r="J21" s="5" t="n"/>
      <c r="K21" s="5" t="n"/>
      <c r="L21" s="5" t="n"/>
    </row>
    <row r="22">
      <c r="A22" s="5" t="n">
        <v>21</v>
      </c>
      <c r="B22" s="5" t="inlineStr">
        <is>
          <t>213893cc9b1e</t>
        </is>
      </c>
      <c r="C22" s="5" t="inlineStr">
        <is>
          <t>The Halo of Time (HAT): The Thermodynamics of Mating: Rank Collapse, Fisher Blindness, and Error Correction in Non-Markovian Evolutionary Systems</t>
        </is>
      </c>
      <c r="D22" s="5" t="inlineStr">
        <is>
          <t>Abhishek Saurabh</t>
        </is>
      </c>
      <c r="E22" s="5" t="inlineStr">
        <is>
          <t>2025</t>
        </is>
      </c>
      <c r="F22" s="5" t="inlineStr">
        <is>
          <t>10.5281/zenodo.18176224</t>
        </is>
      </c>
      <c r="G22" s="5" t="inlineStr">
        <is>
          <t>Description This monograph presents a theory-first unification of evolutionary biology, information geometry, and non-equilibrium statistical mechanics, developed within the Halo of Time (HAT) framework. It advances the central claim that sexual reproduction (mating) functions as an error-correction and governance mechanism that prevents rank collapse in complex adaptive systems subject to hidden, non-Markovian drift. The work introduces and formally develops the Fisher-Blindness No-Go Theorem, which proves that any observer restricted to finite-window, boundary-level observations is mathematically incapable of detecting slow structural phase transitions in the bulk dynamics of a system. In biological populations, this blindness manifests as Muller’s Ratchet and mutational meltdown in asexual lineages. More generally, the same failure mode appears in financial markets (liquidity collapse), quantum information systems (logical erasure under drift), and artificial intelligence (neural mode collapse). Key theoretical contributions include: A geometric definition of extinction and systemic failure as effective rank collapse of the underlying covariance or state manifold. A formulation of Structural Time as a renormalization coordinate governing long-horizon stability. A non-Hermitian dynamical model of extinction as an Exceptional Point phase transition. A thermodynamic and symmetry-breaking account of anisogamy, framing egg–sperm differentiation as a low-entropy initialization constraint. A rigorous isomorphism between mating, quantum error correction, and hardware safety interlocks, formalized via the concept of a Systolic Drift Monitor. An information-geometric treatment of evolutionary navigation using Finsler geometry and Zermelo navigation. The monograph also includes blind statistical validation of the framework’s core signal-detection claims using topological data analysis on financial time series, demonstrating that structural failure is predictable when observed at the correct scale. This work is intended as a foundational theoretical reference rather than an experimental biology paper. Its claims are framed as effective field-theoretic constraints and isomorphisms, not as direct mechanistic reductions. The framework is applicable to biology, finance, quantum information, artificial intelligence, and evolutionary computation wherever long-horizon stability must be maintained under partial observability.</t>
        </is>
      </c>
      <c r="H22" s="5" t="inlineStr">
        <is>
          <t>openalex</t>
        </is>
      </c>
      <c r="I22" s="5" t="n"/>
      <c r="J22" s="5" t="n"/>
      <c r="K22" s="5" t="n"/>
      <c r="L22" s="5" t="n"/>
    </row>
    <row r="23">
      <c r="A23" s="5" t="n">
        <v>22</v>
      </c>
      <c r="B23" s="5" t="inlineStr">
        <is>
          <t>2209a3b107d7</t>
        </is>
      </c>
      <c r="C23" s="5" t="inlineStr">
        <is>
          <t>Financial Distress in European Vineyards and Olive Groves</t>
        </is>
      </c>
      <c r="D23" s="5" t="inlineStr">
        <is>
          <t>Mário Santiago Céu; Raquel M. Gaspar</t>
        </is>
      </c>
      <c r="E23" s="5" t="inlineStr">
        <is>
          <t>2024</t>
        </is>
      </c>
      <c r="F23" s="5" t="inlineStr">
        <is>
          <t>10.30682/nm2401c</t>
        </is>
      </c>
      <c r="G23" s="5" t="inlineStr">
        <is>
          <t>This study focuses on the prediction of financial distress of agricultural firms operating in the vineyards and olive crops sectors in Mediterranean countries, specifically in Portugal, Spain, and Italy, which are crucial for the production of these crops. The sample size of the study is 5,057 firms. Twelve models are presented, estimated from subsamples of combinations between countries and crops. Logistic regression is used for the estimation of these models. The accuracy of the models is evaluated, considering the importance of misclassification costs. Additionally, the areas under the ROC curves are calculated and compared in a dynamic of possible combinations between crops and countries. The study concludes that there are differences between the two sectors, as well as across countries, and suggests that dedicated models for each country or crop may improve the the models’ accuracy.</t>
        </is>
      </c>
      <c r="H23" s="5" t="inlineStr">
        <is>
          <t>openalex</t>
        </is>
      </c>
      <c r="I23" s="5" t="n"/>
      <c r="J23" s="5" t="n"/>
      <c r="K23" s="5" t="n"/>
      <c r="L23" s="5" t="n"/>
    </row>
    <row r="24">
      <c r="A24" s="5" t="n">
        <v>23</v>
      </c>
      <c r="B24" s="5" t="inlineStr">
        <is>
          <t>bf05cb243936</t>
        </is>
      </c>
      <c r="C24" s="5" t="inlineStr">
        <is>
          <t>Flying vertebrates provide valuable biocontrol services in olive grove landscapes of the Mediterranean</t>
        </is>
      </c>
      <c r="D24" s="5" t="inlineStr">
        <is>
          <t>Miguel D. Ferro; Bruno Henrique Rocha da Silva; Maria Antonia de Almeida Duarte; José Muñoz‐Rojas; José M. Herrera</t>
        </is>
      </c>
      <c r="E24" s="5" t="inlineStr">
        <is>
          <t>2026</t>
        </is>
      </c>
      <c r="F24" s="5" t="inlineStr">
        <is>
          <t>10.1016/j.baae.2026.03.001</t>
        </is>
      </c>
      <c r="G24" s="5" t="inlineStr">
        <is>
          <t>• The economic value of biocontrol services provided by birds and bats in olive groves remains poorly quantified. • Experimental exclusion of birds and bats significantly increases Bactrocera oleae infestation. • Extrapolation from olive-dominated landscapes in Portugal indicates that vertebrate-mediated biocontrol may represent a substantial economic contribution to the European olive sector. • Biocontrol services have the potential to support conservation and management of insectivorous birds and bats in olive agroecosystems. Olive ( Olea europaea var. europaea ) grove landscapes dominate much of Mediterranean Europe, yet increasing agricultural intensification has raised concerns about biodiversity loss and its consequences for sustainable production. Insectivorous birds and bats are widely recognized as effective pest controllers in agricultural systems; however, the economic value of their biocontrol services in olive production remains poorly quantified, limiting their integration into biodiversity-friendly management strategies. Here, we conducted a two-year exclosure experiment to evaluate the contribution of birds and bats to the control of a major olive pest, the olive fruit fly Bactrocera oleae , and to estimate the economic value of vertebrate-mediated biocontrol across two contrasting production systems (i.e., low- and high-intensity systems). Biocontrol effectiveness was quantified as the proportional increase in fly infestation in the absence of birds and bats, while economic value was estimated as the corresponding reduction in olive oil profits under elevated pest pressure. Birds and bats reduced fly infestation in olive groves across production systems, with maximum reductions of approximately 14%. Assuming this estimate from olive groves in Portugal, and the number of hectares of harvested cropland across Mediterranean Europe, we estimate the value of their biocontrol services to the olive industry is roughly €642.79 million per year, considering only price gains associated with reduced fly infestation in produced extra virgin olive oil. Even under spatial constraints and conservative assumptions, we provide the first experimental evidence that birds and bats can act as effective biocontrol agents against B. oleae, and deliver economically valuable biocontrol services to olive industry. Our results highlight the usefulness of biocontrol services provision as an argument to support the integration of biodiversity management into agricultural practices and policy frameworks.</t>
        </is>
      </c>
      <c r="H24" s="5" t="inlineStr">
        <is>
          <t>openalex</t>
        </is>
      </c>
      <c r="I24" s="5" t="n"/>
      <c r="J24" s="5" t="n"/>
      <c r="K24" s="5" t="n"/>
      <c r="L24" s="5" t="n"/>
    </row>
    <row r="25">
      <c r="A25" s="5" t="n">
        <v>24</v>
      </c>
      <c r="B25" s="5" t="inlineStr">
        <is>
          <t>be40b988351f</t>
        </is>
      </c>
      <c r="C25" s="5" t="inlineStr">
        <is>
          <t>Cybersecurity Measures in Financial Institutions Protecting Sensitive Data from Emerging Threats and Vulnerabilities</t>
        </is>
      </c>
      <c r="D25" s="5" t="inlineStr">
        <is>
          <t>Kiran Kumar Boorugupalli; Aparna Kulkarni; Amala Suzana; M. Diwakaran; Sivakumar Ponnusamy; Senthil Kumar S</t>
        </is>
      </c>
      <c r="E25" s="5" t="inlineStr">
        <is>
          <t>2025</t>
        </is>
      </c>
      <c r="F25" s="5" t="inlineStr">
        <is>
          <t>10.1051/itmconf/20257602002</t>
        </is>
      </c>
      <c r="G25" s="5" t="inlineStr">
        <is>
          <t>As financial institutions increasingly digitized, they are up against a growing suite of cybersecurity threats such as ransomware, cryptojacking, AI-enabled phishing, and quantum computing attacks. Other research work and government reports reinforce general cybersecurity concerns but are not technical or applied. They do not cater specifically to financial institutions. To fill these gaps, this study introduces an AI-based cybersecurity framework focusing on effective protection of financial data, compliance with regulations, and minimizing time for detecting threats.Building upon the existing research and drawing on best practices from both the financial and technology sectors, this paper presents a promising new framework that combines machine learning-driven methods for real-time fraud detection, the use of blockchain technology to ensure transaction integrity, and quantum-resistant and decentralized encryption methods to protect sensitive financial information from cyber threats. Whereas other research focuses on broad, high-level strategies, this research offers a step-by-step technical roadmap to zero-trust security, anomaly detection and automated cybersecurity responses. It also analyzes actual cyberattacks on financial institutions and develops predictive models to proactively reduce risks.To tackle on email-based financial scams, the research presents a deep learning-embedded BERT paradigm integrated with NLP to enhance phishing identification. It also introduces a biometric security mechanism that ensures that sensitive user data is unalterable, and accessible only to authorized parties. Cybersecurity measures for integrated financial IoT are proposed contribution to the NIST Cybersecurity Framework, including the prevention of cyber threats for automatic teller machines, mobile banking, and electronic payment systems. Challenges of compliance with GDPR, PCI-DSS and ISO 27001 are also addressed.Based on empirically-testing real-time financial datasets, the framework shows improved robustness to cyberattacks. These findings lay the groundwork for the future of cybersecurity, helping financial institutions stay secure and adaptive in the face of evolving cyber threats.</t>
        </is>
      </c>
      <c r="H25" s="5" t="inlineStr">
        <is>
          <t>openalex</t>
        </is>
      </c>
      <c r="I25" s="5" t="n"/>
      <c r="J25" s="5" t="n"/>
      <c r="K25" s="5" t="n"/>
      <c r="L25" s="5" t="n"/>
    </row>
    <row r="26">
      <c r="A26" s="5" t="n">
        <v>25</v>
      </c>
      <c r="B26" s="5" t="inlineStr">
        <is>
          <t>eb9b2edee442</t>
        </is>
      </c>
      <c r="C26" s="5" t="inlineStr">
        <is>
          <t>Quantum Advantage for Multi-option Portfolio Pricing and Valuation Adjustments</t>
        </is>
      </c>
      <c r="D26" s="5" t="inlineStr">
        <is>
          <t>Jeong Yu Han; Bin Cheng; Dinh-Long Vu; Patrick Rebentrost</t>
        </is>
      </c>
      <c r="E26" s="5" t="inlineStr">
        <is>
          <t>2022</t>
        </is>
      </c>
      <c r="F26" s="5" t="inlineStr"/>
      <c r="G26" s="5" t="inlineStr">
        <is>
          <t>A critical problem in the financial world deals with the management of risk, from regulatory risk to portfolio risk. Many such problems involve the analysis of securities modelled by complex dynamics that cannot be captured analytically, and hence rely on numerical techniques that simulate the stochastic nature of the underlying variables. These techniques may be computationally difficult or demanding. Hence, improving these methods offers a variety of opportunities for quantum algorithms. In this work, we study the problem of Credit Valuation Adjustments (CVAs) which has significant importance in the valuation of derivative portfolios. As a variant, we also consider the problem of pricing a portfolio of many different financial options. We propose quantum algorithms that accelerate statistical sampling processes to approximate the price of the multi-option portfolio and the CVA under different measures of dispersion. Technically, our algorithms are based on enhancing the quantum Monte Carlo (QMC) algorithms by Montanaro with an unbiased version of quantum amplitude estimation. We analyse the conditions under which we may employ these techniques and demonstrate the application of QMC techniques on CVA approximation when particular bounds for the variance of CVA are known.</t>
        </is>
      </c>
      <c r="H26" s="5" t="inlineStr">
        <is>
          <t>arxiv</t>
        </is>
      </c>
      <c r="I26" s="5" t="n"/>
      <c r="J26" s="5" t="n"/>
      <c r="K26" s="5" t="n"/>
      <c r="L26" s="5" t="n"/>
    </row>
    <row r="27">
      <c r="A27" s="5" t="n">
        <v>26</v>
      </c>
      <c r="B27" s="5" t="inlineStr">
        <is>
          <t>a9313a5f4310</t>
        </is>
      </c>
      <c r="C27" s="5" t="inlineStr">
        <is>
          <t>ANALISIS KOMPARASI PREDIKSI FINANCIAL DISTRESS METODE GROVER, ALTMAN, SPRINGATE, ZMIJEWSKI, DAN OHLSON PADA PERUSAHAAN PERTAMBANGAN DI BEI</t>
        </is>
      </c>
      <c r="D27" s="5" t="inlineStr">
        <is>
          <t>Komarudin Komarudin; Syafnita Syafnita; Amalia Ilmiani</t>
        </is>
      </c>
      <c r="E27" s="5" t="inlineStr">
        <is>
          <t>2019</t>
        </is>
      </c>
      <c r="F27" s="5" t="inlineStr">
        <is>
          <t>10.31941/jebi.v22i2.991</t>
        </is>
      </c>
      <c r="G27" s="5" t="inlineStr">
        <is>
          <t>This study aims to determine whether there are differences between the Grover, Altman, Springate, Zmijewski, and Ohlson models to predict financial distress. And to find out which financial distress prediction models are best applied to mining companies in Indonesia. Comparison of the five models is done by analyzing the accuracy of each model, using the real conditions of the company. The population in this study amounted to 39 mining companies listed on the Stock Exchange, the sampling technique in this study was purposive sampling. From the results of the sample calculation, it is known that companies that meet the requirements to be used as samples of the company are 13 companies. The analytical tool used in this study is Two Way ANOVA. Based on data analysis it is known that there are differences between the five bankruptcy analysis models used in this study except the Altman and Ohlson models in the test results are not significant, which is equal to 0.105. And the accuracy of the Grover model is 64.10%, the Altman model is 66.67%, Springate is 48.72%, Zmijewski is 61.54%, and Ohlson is 25.64%. Among the five bankruptcy analysis models that have the highest level of accuracy are the Altman model. Keywords: Financial Distress and Bankruptcy Prediction Method.</t>
        </is>
      </c>
      <c r="H27" s="5" t="inlineStr">
        <is>
          <t>openalex</t>
        </is>
      </c>
      <c r="I27" s="5" t="n"/>
      <c r="J27" s="5" t="n"/>
      <c r="K27" s="5" t="n"/>
      <c r="L27" s="5" t="n"/>
    </row>
    <row r="28">
      <c r="A28" s="5" t="n">
        <v>27</v>
      </c>
      <c r="B28" s="5" t="inlineStr">
        <is>
          <t>5d2fa05bbf79</t>
        </is>
      </c>
      <c r="C28" s="5" t="inlineStr">
        <is>
          <t>Prediksi Financial Distress Pada Perusahaan Makanan dan Minuman di Bursa Efek Indonesia</t>
        </is>
      </c>
      <c r="D28" s="5" t="inlineStr">
        <is>
          <t>Wicaksono Narindra Putra</t>
        </is>
      </c>
      <c r="E28" s="5" t="inlineStr">
        <is>
          <t>2019</t>
        </is>
      </c>
      <c r="F28" s="5" t="inlineStr"/>
      <c r="G28" s="5" t="inlineStr">
        <is>
          <t>This study aims to determine the accuracy of bankruptcy prediction models that exist in food and beverage companies listed on the Indonesia Stock Exchange in 2015-2017. This study uses three bankruptcy prediction models, the Springate, Zmijewski, and Grover models. The sample in this study used a purposive sampling method to obtain 19 companies. Data analysis techniques by calculating the level of accuracy and type of error of each model with the help of the Microsoft Excel program. The results showed that there were differences between the results of the analysis of the three bankruptcy prediction models used in this study. The accuracy rate for the Zmijewski model is 100%. While the Grover model is 93.75% with a type II error of 6.25%. Then there is the Springate method with an accuracy rate of 75% and a type II error of 25%. Among the three bankruptcy prediction models that have the highest level of accuracy is the Zmijewski model.
Keywords: Financial Distress, Springate, Zmijewski, Grover</t>
        </is>
      </c>
      <c r="H28" s="5" t="inlineStr">
        <is>
          <t>openalex</t>
        </is>
      </c>
      <c r="I28" s="5" t="n"/>
      <c r="J28" s="5" t="n"/>
      <c r="K28" s="5" t="n"/>
      <c r="L28" s="5" t="n"/>
    </row>
    <row r="29">
      <c r="A29" s="5" t="n">
        <v>28</v>
      </c>
      <c r="B29" s="5" t="inlineStr">
        <is>
          <t>53cdbb737343</t>
        </is>
      </c>
      <c r="C29" s="5" t="inlineStr">
        <is>
          <t>Portfolio Optimization using Accelerated Quantum Simulation</t>
        </is>
      </c>
      <c r="D29" s="5" t="inlineStr">
        <is>
          <t>Gaurang Belekar; Manish Modani; Anindita Banerjee</t>
        </is>
      </c>
      <c r="E29" s="5" t="inlineStr">
        <is>
          <t>2024</t>
        </is>
      </c>
      <c r="F29" s="5" t="inlineStr">
        <is>
          <t>10.1109/tqcebt59414.2024.10545076</t>
        </is>
      </c>
      <c r="G29" s="5" t="inlineStr">
        <is>
          <t>Identifying the most suitable stocks for Portfolio stands as a critical challenge in the financial sector especially for a larger pool of assets. Quantum algorithms have emerged as a promising solution to the inherent challenges and offering the potential for exponential speedups in solving complex optimization problems. These algorithms are particularly suited for navigating the vast solution spaces associated with large asset pools, thus enabling more effective diversification strategies. Within this context, we explore the application of CUDA Quantum, an advanced quantum simulation framework and a quantum ready platform. Our study demonstrates that when applied to a set of 15 assets and more, CUDA Quantum significantly outperforms traditional CPU-based simulations in terms of computational speed and increases as the number of assets increase, highlighting the advantages of GPU acceleration in processing complex quantum algorithms. By extending our implementation to larger asset pools upto 30 assets, we provide empirical evidence of the substantial performance gains achievable with CUDA Quantum. Our findings illustrate the transformative potential of integrating quantum algorithms and GPU computing in addressing the challenge of portfolio optimization.</t>
        </is>
      </c>
      <c r="H29" s="5" t="inlineStr">
        <is>
          <t>openalex</t>
        </is>
      </c>
      <c r="I29" s="5" t="n"/>
      <c r="J29" s="5" t="n"/>
      <c r="K29" s="5" t="n"/>
      <c r="L29" s="5" t="n"/>
    </row>
    <row r="30">
      <c r="A30" s="5" t="n">
        <v>29</v>
      </c>
      <c r="B30" s="5" t="inlineStr">
        <is>
          <t>3e8c3ec6426f</t>
        </is>
      </c>
      <c r="C30" s="5" t="inlineStr">
        <is>
          <t>Applications and Trends in Fintech I</t>
        </is>
      </c>
      <c r="D30" s="5" t="inlineStr">
        <is>
          <t>David Kuo Chuen Lee; Joseph Anthony Lim; Kok Fai Phoon; Yu Wang</t>
        </is>
      </c>
      <c r="E30" s="5" t="inlineStr">
        <is>
          <t>2021</t>
        </is>
      </c>
      <c r="F30" s="5" t="inlineStr">
        <is>
          <t>10.1142/12578</t>
        </is>
      </c>
      <c r="G30" s="5" t="inlineStr">
        <is>
          <t>This book is the first part of Applications and Trends in Fintech, which serves as a comprehensive guide to the advanced topics in fintech, including the deep learning and natural language processing algorithms, blockchain design thinking, token economics, cybersecurity, cloud computing and quantum computing, compliance and risk management, and global fintech trends. Readers will gain knowledge about the applications of fintech in finance and its latest developments as well as trends.</t>
        </is>
      </c>
      <c r="H30" s="5" t="inlineStr">
        <is>
          <t>openalex</t>
        </is>
      </c>
      <c r="I30" s="5" t="n"/>
      <c r="J30" s="5" t="n"/>
      <c r="K30" s="5" t="n"/>
      <c r="L30" s="5" t="n"/>
    </row>
    <row r="31">
      <c r="A31" s="5" t="n">
        <v>30</v>
      </c>
      <c r="B31" s="5" t="inlineStr">
        <is>
          <t>f6fc9a6b4082</t>
        </is>
      </c>
      <c r="C31" s="5" t="inlineStr">
        <is>
          <t>Analisis Financial Distress Menggunakan Metode Altman Z-Score, Springate, Zmijeski Dan Grover Pada Perusahaan Sektor Perkebunan yang Terdaftar di Bursa Efek Indonesia</t>
        </is>
      </c>
      <c r="D31" s="5" t="inlineStr">
        <is>
          <t>Sri Wahyuni; Rubiyah Rubiyah</t>
        </is>
      </c>
      <c r="E31" s="5" t="inlineStr">
        <is>
          <t>2021</t>
        </is>
      </c>
      <c r="F31" s="5" t="inlineStr">
        <is>
          <t>10.30596/maneggio.v4i1.6714</t>
        </is>
      </c>
      <c r="G31" s="5" t="inlineStr">
        <is>
          <t>The purpose of this study was to analyze the financial distress conditions in plantation sector companies listed on the Indonesia Stock Exchange in 2014-2018 using the Altman Z-Score, Springate, Zmijewski and Grover methods. And to find out the level of accuracy of each method and the error rate of the Altman Z-Score, Springate, Zmijewski and Grover methods.This study uses a descriptive approach, which aims to determine the value of an existing variable.  The data analysis method used is the Altman Z-Score, Springate, Zmijewski and Grover methods. The results of this study indicate that there are differences in results between the Altman Z-Score method, the Springate method, the Zmijewski method and the Grover method in analyzing the company's financial distress. The Altman method is the most appropriate and accurate method in predicting financial distress conditions in plantation sector companies listed on the Indonesia Stock Exchange with the highest accuracy rate of 76.00%, then the second is the Zmijewski method with an accuracy rate of 70.67% and the last Springate and Grover methods with the same level of accuracy that is equal to 69.33%</t>
        </is>
      </c>
      <c r="H31" s="5" t="inlineStr">
        <is>
          <t>openalex</t>
        </is>
      </c>
      <c r="I31" s="5" t="n"/>
      <c r="J31" s="5" t="n"/>
      <c r="K31" s="5" t="n"/>
      <c r="L31" s="5" t="n"/>
    </row>
    <row r="32">
      <c r="A32" s="5" t="n">
        <v>31</v>
      </c>
      <c r="B32" s="5" t="inlineStr">
        <is>
          <t>a82edc88ba8d</t>
        </is>
      </c>
      <c r="C32" s="5" t="inlineStr">
        <is>
          <t>A Practical Quantum Solver for Multidimensional Partial Differential Equations</t>
        </is>
      </c>
      <c r="D32" s="5" t="inlineStr">
        <is>
          <t>Manu Chaudhary; Khaled El‐Araby; Alvir Nobel; Ishraq Islam; Manish Singh; Sunday Ogundele; Kieran Egan; Sneha Thomas; Vincent Vordtriede; Devon Bontrager; S. Kim; Esam El‐Araby</t>
        </is>
      </c>
      <c r="E32" s="5" t="inlineStr">
        <is>
          <t>2025</t>
        </is>
      </c>
      <c r="F32" s="5" t="inlineStr">
        <is>
          <t>10.1145/3731599.3767550</t>
        </is>
      </c>
      <c r="G32" s="5" t="inlineStr">
        <is>
          <t>Quantum computing has the potential to transform computational problem-solving by leveraging quantum mechanical principles of superposition and entanglement. This capability is particularly important for the numerical solution of complex and/or multidimensional partial differential equations (PDEs). There are currently many quantum techniques available for solving PDEs, which are mainly based on variational quantum algorithms (VQAs). However, the existing quantum PDE solvers, particularly those based on VQAs suffer from limitations such as low accuracy, high execution times, and low scalability on both simulators as well as on real quantum devices. In this work, we propose an efficient and scalable algorithm for solving multidimensional PDEs. We present two variants of our algorithm: the first leverages finite-difference method (FDM), classical-to-quantum (C2Q) encoding, and numerical instantiation, while the second employs FDM, C2Q, and column-by-column decomposition (CCD). Both variants are designed to enhance accuracy and scalability while reducing execution times. We have validated our proposed algorithm by solving several practically useful PDEs such as Poisson, heat, Black-Scholes, and Navier-Stokes equations. Our results demonstrate higher accuracy, higher scalability, and faster execution times compared to VQA-based solvers on noise-free and noisy quantum simulators from IBM and achieved promising results on real quantum hardware.</t>
        </is>
      </c>
      <c r="H32" s="5" t="inlineStr">
        <is>
          <t>openalex</t>
        </is>
      </c>
      <c r="I32" s="5" t="n"/>
      <c r="J32" s="5" t="n"/>
      <c r="K32" s="5" t="n"/>
      <c r="L32" s="5" t="n"/>
    </row>
    <row r="33">
      <c r="A33" s="5" t="n">
        <v>32</v>
      </c>
      <c r="B33" s="5" t="inlineStr">
        <is>
          <t>c0ae71425760</t>
        </is>
      </c>
      <c r="C33" s="5" t="inlineStr">
        <is>
          <t>The use of quantum calculations to optimize the complex supply chain networks</t>
        </is>
      </c>
      <c r="D33" s="5" t="inlineStr">
        <is>
          <t>Mohammad Taleghani; Martín Solà</t>
        </is>
      </c>
      <c r="E33" s="5" t="inlineStr">
        <is>
          <t>2025</t>
        </is>
      </c>
      <c r="F33" s="5" t="inlineStr">
        <is>
          <t>10.22271/27078205.2025.v6.i2a.62</t>
        </is>
      </c>
      <c r="G33" s="5" t="inlineStr">
        <is>
          <t>This article presents a quantum-enhanced framework for optimizing complex supply chain networks (SCNs) under stochastic demand, addressing computational intractability in classical approaches. We propose a hybrid quantum-classical methodology integrating the Quantum Approximate Optimization Algorithm (QAOA) with hierarchical graph decomposition, enabling industrial-scale optimization (?100 nodes) on NISQ-era hardware. Key innovations include: (1) First quantum-native stochastic demand modeling via amplitude estimation, achieving quadratic speedup (O(log(1/?)/?)) over Monte Carlo methods; (2) A novel decomposition algorithm coordinating quantum subproblems through augmented Lagrangian optimization; (3) Error-adapted QAOA with zero-noise extrapolation, improving quantum volume utilization to 85%. Empirical validation demonstrates 42% faster computation versus classical solvers (CPLEX) while maintaining solution quality within 4.7% of optimality. The framework exhibits near-linear scalability (efficiency = 0.92) and outperforms heuristics in high-connectivity, volatile-demand scenarios. Mathematical contributions include a stochastic Hamiltonian formulation for normally distributed demand and noise-aware parameter optimization. This work establishes quantum computing as a viable tool for real-time SCN optimization, particularly for multi-period networks with uncertainty. Future research will explore multi-objective extensions, quantum machine learning integration, and dynamic reconfiguration protocols.</t>
        </is>
      </c>
      <c r="H33" s="5" t="inlineStr">
        <is>
          <t>openalex</t>
        </is>
      </c>
      <c r="I33" s="5" t="n"/>
      <c r="J33" s="5" t="n"/>
      <c r="K33" s="5" t="n"/>
      <c r="L33" s="5" t="n"/>
    </row>
    <row r="34">
      <c r="A34" s="5" t="n">
        <v>33</v>
      </c>
      <c r="B34" s="5" t="inlineStr">
        <is>
          <t>661da9281084</t>
        </is>
      </c>
      <c r="C34" s="5" t="inlineStr">
        <is>
          <t>Monte Carlo to Las Vegas for Recursively Composed Functions</t>
        </is>
      </c>
      <c r="D34" s="5" t="inlineStr">
        <is>
          <t>Bandar Al-Dhalaan; Shalev Ben-David</t>
        </is>
      </c>
      <c r="E34" s="5" t="inlineStr">
        <is>
          <t>2026</t>
        </is>
      </c>
      <c r="F34" s="5" t="inlineStr"/>
      <c r="G34" s="5" t="inlineStr">
        <is>
          <t>For a (possibly partial) Boolean function $f\colon\{0,1\}^n\to\{0,1\}$ as well as a query complexity measure $M$ which maps Boolean functions to real numbers, define the composition limit of $M$ on $f$ by $M^*(f)=\lim_{k\to\infty} M(f^k)^{1/k}$.   We study the composition limits of general measures in query complexity. We show this limit converges under reasonable assumptions about the measure. We then give a surprising result regarding the composition limit of randomized query complexity: we show $R_0^*(f)=\max\{R^*(f),C^*(f)\}$. Among other things, this implies that any bounded-error randomized algorithm for recursive 3-majority can be turned into a zero-error randomized algorithm for the same task. Our result extends also to quantum algorithms: on recursively composed functions, a bounded-error quantum algorithm can be converted into a quantum algorithm that finds a certificate with high probability.   Along the way, we prove various combinatorial properties of measures and composition limits.</t>
        </is>
      </c>
      <c r="H34" s="5" t="inlineStr">
        <is>
          <t>arxiv</t>
        </is>
      </c>
      <c r="I34" s="5" t="n"/>
      <c r="J34" s="5" t="n"/>
      <c r="K34" s="5" t="n"/>
      <c r="L34" s="5" t="n"/>
    </row>
    <row r="35">
      <c r="A35" s="5" t="n">
        <v>34</v>
      </c>
      <c r="B35" s="5" t="inlineStr">
        <is>
          <t>aa8d930f4f4f</t>
        </is>
      </c>
      <c r="C35" s="5" t="inlineStr">
        <is>
          <t>Study on Frustrated Quantum Phase Transition Achievable by Quantum Computing</t>
        </is>
      </c>
      <c r="D35" s="5" t="inlineStr">
        <is>
          <t>Zili Chen</t>
        </is>
      </c>
      <c r="E35" s="5" t="inlineStr">
        <is>
          <t>2024</t>
        </is>
      </c>
      <c r="F35" s="5" t="inlineStr"/>
      <c r="G35" s="5" t="inlineStr">
        <is>
          <t>Quantum computers, with parallel computing and entanglement effects, excel in cryptography analysis and big data processing. However, they are not fully developed yet, and their performance needs further evaluation. Traditional computer data, especially in simulating quantum phase transitions, are still needed for reference. Two-dimensional frustrated lattice systems can be chosen for studying quantum phase transitions. Currently, significant progress has been made in the study of frustrated square and triangular lattices using traditional computers, while research on hexagonal lattices is limited. This paper consists of four parts. The first part introduces the background of quantum computers and the concept of quantum phase transitions, with the selection of order parameters in hexagonal lattices. The second part elaborates the ideas of the quantum Monte Carlo algorithm. The third part presents numerical simulations, exploring the impact of different transverse magnetic fields on order parameters under low-temperature conditions and showcasing results for various lattice sizes. The fourth part summarizes and looks ahead, comparing the results with those of square and triangular lattices as well as relevant theoretical analyses.</t>
        </is>
      </c>
      <c r="H35" s="5" t="inlineStr">
        <is>
          <t>arxiv</t>
        </is>
      </c>
      <c r="I35" s="5" t="n"/>
      <c r="J35" s="5" t="n"/>
      <c r="K35" s="5" t="n"/>
      <c r="L35" s="5" t="n"/>
    </row>
    <row r="36">
      <c r="A36" s="5" t="n">
        <v>35</v>
      </c>
      <c r="B36" s="5" t="inlineStr">
        <is>
          <t>cf756ca515b7</t>
        </is>
      </c>
      <c r="C36" s="5" t="inlineStr">
        <is>
          <t>Quantum gate design using integrated photonics: a comparative study</t>
        </is>
      </c>
      <c r="D36" s="5" t="inlineStr">
        <is>
          <t>Thomas J. G. Mikhail; Mohamed A. Swillam</t>
        </is>
      </c>
      <c r="E36" s="5" t="inlineStr">
        <is>
          <t>2026</t>
        </is>
      </c>
      <c r="F36" s="5" t="inlineStr">
        <is>
          <t>10.1117/12.3079155</t>
        </is>
      </c>
      <c r="G36" s="5" t="inlineStr">
        <is>
          <t>In this study, we use qINTERCONNECT to perform a comparative analysis of published Photonic quantum gate designs, including CNOT, Hadamard, SWAP. We introduce real-world fabrication errors via Monte Carlo simulations of key design parameters, and by analyzing the resulting means and standard deviations, we assess the relative robustness and scalability of each design under realistic conditions by comparing each design’s fidelity and probability of success. This comparison highlights key challenges facing practical implementations of quantum gates and informs design strategies for future scalable quantum computing.</t>
        </is>
      </c>
      <c r="H36" s="5" t="inlineStr">
        <is>
          <t>openalex</t>
        </is>
      </c>
      <c r="I36" s="5" t="n"/>
      <c r="J36" s="5" t="n"/>
      <c r="K36" s="5" t="n"/>
      <c r="L36" s="5" t="n"/>
    </row>
    <row r="37">
      <c r="A37" s="5" t="n">
        <v>36</v>
      </c>
      <c r="B37" s="5" t="inlineStr">
        <is>
          <t>66c3cead8c46</t>
        </is>
      </c>
      <c r="C37" s="5" t="inlineStr">
        <is>
          <t>Monte Carlo Study of a wide range of Molecular Spintronics Devices</t>
        </is>
      </c>
      <c r="D37" s="5" t="inlineStr">
        <is>
          <t>Pawan Tyagi; Christopher D Angelo; Collin Baker</t>
        </is>
      </c>
      <c r="E37" s="5" t="inlineStr">
        <is>
          <t>2014</t>
        </is>
      </c>
      <c r="F37" s="5" t="inlineStr">
        <is>
          <t>10.1142/S1793292015500563</t>
        </is>
      </c>
      <c r="G37" s="5" t="inlineStr">
        <is>
          <t>Molecular spintronics devices (MSDs) are highly promising candidates for enabling quantum computation and revolutionizing computer logic and memory. An advanced MSD will require the placement of magnetic molecules between the two ferromagnetic (FM) electrodes. Recent experimental studies showed that some magnetic molecules produced unprecedented strong exchange couplings between the two FM electrodes leading to intriguing magnetic and transport properties in a MSD. Future development of MSDs will critically depend on obtaining an in-depth understanding of the molecule induced exchange coupling, and its impact on switchability, functional temperature range, and stability. However, the large size of MSD systems and fragile device fabrication scheme continue to limit the theoretical and experimental studies of magnetic attributes produced by molecules in a MSD. This paper theoretically studies the MSD by performing Monte Carlo simulations (MCS). Our MCS encompasses the full range of MSDs that can be realized by establishing different kinds of magnetic interaction between magnetic molecules and FM electrodes. Our MSDs are represented by a 2D Ising model. We studied the effect of a wide range of molecule-FM electrode couplings on the basic properties of MSDs. This wide range covered (i) molecule possessing ferromagnetic coupling with both FM electrodes, (ii) molecule possessing antiferromagnetic coupling with both FM electrodes, and (iii) molecule possessing ferromagnetic coupling with one electrode and antiferromagnetic coupling with another FM electrode. Our MCS will enable the fundamental understanding and designing of a wide range of novel MSDs utilizing a variety of molecules and FM electrodes; these studies will also benefits nanomaterials based spintronics devices employing nanoclusters and quantum dots as the device elements.</t>
        </is>
      </c>
      <c r="H37" s="5" t="inlineStr">
        <is>
          <t>arxiv</t>
        </is>
      </c>
      <c r="I37" s="5" t="n"/>
      <c r="J37" s="5" t="n"/>
      <c r="K37" s="5" t="n"/>
      <c r="L37" s="5" t="n"/>
    </row>
    <row r="38">
      <c r="A38" s="5" t="n">
        <v>37</v>
      </c>
      <c r="B38" s="5" t="inlineStr">
        <is>
          <t>9ea18a0e8bfd</t>
        </is>
      </c>
      <c r="C38" s="5" t="inlineStr">
        <is>
          <t>Quantum Graph Partitioning Delays Cascade Failure Phase Transition in Financial Networks</t>
        </is>
      </c>
      <c r="D38" s="5" t="inlineStr">
        <is>
          <t>Amine Mohamed Aboussalah</t>
        </is>
      </c>
      <c r="E38" s="5" t="inlineStr">
        <is>
          <t>2021</t>
        </is>
      </c>
      <c r="F38" s="5" t="inlineStr">
        <is>
          <t>10.2139/ssrn.3968261</t>
        </is>
      </c>
      <c r="G38" s="5" t="inlineStr"/>
      <c r="H38" s="5" t="inlineStr">
        <is>
          <t>openalex</t>
        </is>
      </c>
      <c r="I38" s="5" t="n"/>
      <c r="J38" s="5" t="n"/>
      <c r="K38" s="5" t="n"/>
      <c r="L38" s="5" t="n"/>
    </row>
    <row r="39">
      <c r="A39" s="5" t="n">
        <v>38</v>
      </c>
      <c r="B39" s="5" t="inlineStr">
        <is>
          <t>e0c37bad0e4e</t>
        </is>
      </c>
      <c r="C39" s="5" t="inlineStr">
        <is>
          <t>Quantum Computing 2+1-dimensional Quantum Electrodynamics</t>
        </is>
      </c>
      <c r="D39" s="5" t="inlineStr">
        <is>
          <t>Crippa, Arianna</t>
        </is>
      </c>
      <c r="E39" s="5" t="inlineStr">
        <is>
          <t>2025</t>
        </is>
      </c>
      <c r="F39" s="5" t="inlineStr">
        <is>
          <t>10.3204/pubdb-2025-02390</t>
        </is>
      </c>
      <c r="G39" s="5" t="inlineStr">
        <is>
          <t>This thesis investigates advances in quantum simulation methods for lattice gauge theories, with a focus on (2+1)-dimensional quantum electrodynamics (QED), which shares important features with (3+1)-dimensional quantum chromodynamics (QCD), such as confinement and asymptotic freedom. Two main projects are developed. The first project investigates the ongoing coupling in a compact pure U(1) gauge theory using a step-scaling function approach. A quantum variational method allows calculations over a wide range of couplings. Plaquette expectation value results are compared with classical Monte Carlo simulations to obtain, in principle, the physical value of the lattice spacing. This method can potentially be extended to the study of QED, which also includes fermionic matter. The second project investigates the static potential between two charges, analyzing the Coulomb, confining, and string-breaking regimes. It involves the development of a tailored variational approach that incorporates system symmetries and mutual information to represent fermionic degrees of freedom. Results from a trapped-ion quantum device agree well with classical simulations, validating the method. Furthermore, this work evaluates superconducting quantum devices, noting issues with noise but also demonstrating improvements in hardware and potential through error limitation. Overall, this work underscores the feasibility of variational quantum algorithms for lattice gauge theory simulations and demonstrates their promise for advancing theoretical physics with quantum computers. This thesis explores advancements in quantum simulation methods for lattice gauge theories, focusing on (2+1)-dimensional Quantum Electrodynamics (QED), which shares key features with (3+1)-dimensional Quantum Chromodynamics (QCD), such as confinement and asymptotic freedom. Two main projects are developed. The first investigates the running coupling in a compact U(1) pure gauge theory using a step scaling function approach. A quantum variational method enables computation across a wide range of couplings. The plaquette expectation value is matched with classical Monte Carlo simulations to obtain, in principle, the physical value of the lattice spacing. This method can be eventually extended to study QED, where fermionic matter is included. The second project examines the static potential between two charges, analyzing Coulomb, confining, and string-breaking regimes. It involves developing a custom variational Ansatz that incorporates system symmetries and mutual information to represent fermionic degrees of freedom. Results from a trapped-ion quantum device align well with exact classical simulations, validating the method. Additionally, the thesis evaluates superconducting devices, identifying noise challenges but noting improvements in hardware and the potential of error mitigation. Overall, this work highlights the viability of variational quantum algorithms for lattice gauge theory simulations and demonstrates their promise for advancing theoretical physics with quantum computing.</t>
        </is>
      </c>
      <c r="H39" s="5" t="inlineStr">
        <is>
          <t>openalex</t>
        </is>
      </c>
      <c r="I39" s="5" t="n"/>
      <c r="J39" s="5" t="n"/>
      <c r="K39" s="5" t="n"/>
      <c r="L39" s="5" t="n"/>
    </row>
    <row r="40">
      <c r="A40" s="5" t="n">
        <v>39</v>
      </c>
      <c r="B40" s="5" t="inlineStr">
        <is>
          <t>a91e7aa47983</t>
        </is>
      </c>
      <c r="C40" s="5" t="inlineStr">
        <is>
          <t>Toward Exploring Phase Diagrams of Gauge Theories on Quantum Computers with Thermal Pure Quantum States</t>
        </is>
      </c>
      <c r="D40" s="5" t="inlineStr">
        <is>
          <t>Connor Powers; Zohreh Davoudi; Niklas Mueller</t>
        </is>
      </c>
      <c r="E40" s="5" t="inlineStr">
        <is>
          <t>2023</t>
        </is>
      </c>
      <c r="F40" s="5" t="inlineStr">
        <is>
          <t>10.22323/1.430.0029</t>
        </is>
      </c>
      <c r="G40" s="5" t="inlineStr">
        <is>
          <t>Aiming at evading the notorious sign problem in classical Monte-Carlo approaches to lattice quantum chromodynamics, we present an approach for quantum computing finite-temperature lattice gauge theories at non-zero density. Based on the thermal pure-quantum-state formalism of statistical mechanics when extended to gauge-theory systems, our approach allows for sign-problem-free quantum computations of thermal expectation values and non-equal time correlation functions. By taking a simple lattice gauge theory for which classical benchmarks are possible, namely $\mathbb{Z}_2$ lattice gauge theory in 1+1 dimensions at finite chemical potential, we discuss resource requirements and robustness to algorithmic and hardware imperfections for near-term quantum-hardware realizations.</t>
        </is>
      </c>
      <c r="H40" s="5" t="inlineStr">
        <is>
          <t>openalex</t>
        </is>
      </c>
      <c r="I40" s="5" t="n"/>
      <c r="J40" s="5" t="n"/>
      <c r="K40" s="5" t="n"/>
      <c r="L40" s="5" t="n"/>
    </row>
    <row r="41">
      <c r="A41" s="5" t="n">
        <v>40</v>
      </c>
      <c r="B41" s="5" t="inlineStr">
        <is>
          <t>bda61984dab6</t>
        </is>
      </c>
      <c r="C41" s="5" t="inlineStr">
        <is>
          <t>Quantum option pricing using Wick rotated imaginary time evolution</t>
        </is>
      </c>
      <c r="D41" s="5" t="inlineStr">
        <is>
          <t>Santosh Kumar Radha</t>
        </is>
      </c>
      <c r="E41" s="5" t="inlineStr">
        <is>
          <t>2021</t>
        </is>
      </c>
      <c r="F41" s="5" t="inlineStr"/>
      <c r="G41" s="5" t="inlineStr">
        <is>
          <t>In this paper we reformulate the problem of pricing options in a quantum setting. Our proposed algorithm involves preparing an initial state, representing the option price, and then evolving it using existing imaginary time simulation algorithms. This way of pricing options boils down to mapping an initial option price to a quantum state and then simulating the time dependence in Wick's imaginary time space. We numerically verify our algorithm for European options using a particular imaginary time evolution algorithm as proof of concept and show how it can be extended to path dependent options like Asian options. As the proposed method uses a hybrid variational algorithm, it is bound to be relevant for near-term quantum computers.</t>
        </is>
      </c>
      <c r="H41" s="5" t="inlineStr">
        <is>
          <t>arxiv</t>
        </is>
      </c>
      <c r="I41" s="5" t="n"/>
      <c r="J41" s="5" t="n"/>
      <c r="K41" s="5" t="n"/>
      <c r="L41" s="5" t="n"/>
    </row>
    <row r="42">
      <c r="A42" s="5" t="n">
        <v>41</v>
      </c>
      <c r="B42" s="5" t="inlineStr">
        <is>
          <t>3eb3fe78af1a</t>
        </is>
      </c>
      <c r="C42" s="5" t="inlineStr">
        <is>
          <t>Crossword 2 Solution</t>
        </is>
      </c>
      <c r="D42" s="5" t="inlineStr">
        <is>
          <t>Sahana Srihari</t>
        </is>
      </c>
      <c r="E42" s="5" t="inlineStr">
        <is>
          <t>2025</t>
        </is>
      </c>
      <c r="F42" s="5" t="inlineStr">
        <is>
          <t>10.4103/ijdpdd.ijdpdd_29_25</t>
        </is>
      </c>
      <c r="G42" s="5" t="inlineStr">
        <is>
          <t>Congratulations to the winners of the previous crossword puzzle.[1] Dr Pratiksha Mishra was the first person to reply with the correct answer and will be offered free registration at the next Dermatopathology Society of India Annual Meeting to be held in Delhi.[2] Correct answers were also given by the following: Dr Anmol Godara, Dr Supriya Elango, Dr Vs Naveen Kumar, Dr Jyothi Jayaraman, Dr Savera Gupta, Dr Logamoorthy R, Dr Jeevan D, Dr Divya Aggarwal, Dr Preethi Paul, Dr Akanksha Malik, Dr Vijay Joshi, Dr Shweta Grover, Dr Deepsikha Bhanja Financial support and sponsorship Nil. Conflicts of interest There are no conflict of interest.</t>
        </is>
      </c>
      <c r="H42" s="5" t="inlineStr">
        <is>
          <t>openalex</t>
        </is>
      </c>
      <c r="I42" s="5" t="n"/>
      <c r="J42" s="5" t="n"/>
      <c r="K42" s="5" t="n"/>
      <c r="L42" s="5" t="n"/>
    </row>
    <row r="43">
      <c r="A43" s="5" t="n">
        <v>42</v>
      </c>
      <c r="B43" s="5" t="inlineStr">
        <is>
          <t>8a7d4e6bffd3</t>
        </is>
      </c>
      <c r="C43" s="5" t="inlineStr">
        <is>
          <t>Becoming Quantum Safe: Protect Your Business and Mitigate Risks with Post‐Quantum Cryptography and Crypto‐Agility</t>
        </is>
      </c>
      <c r="D43" s="5" t="inlineStr">
        <is>
          <t>Arun J.S.</t>
        </is>
      </c>
      <c r="E43" s="5" t="inlineStr">
        <is>
          <t>2025</t>
        </is>
      </c>
      <c r="F43" s="5" t="inlineStr">
        <is>
          <t>10.1002/9781394406784</t>
        </is>
      </c>
      <c r="G43" s="5" t="inlineStr"/>
      <c r="H43" s="5" t="inlineStr">
        <is>
          <t>scopus</t>
        </is>
      </c>
      <c r="I43" s="5" t="n"/>
      <c r="J43" s="5" t="n"/>
      <c r="K43" s="5" t="n"/>
      <c r="L43" s="5" t="n"/>
    </row>
    <row r="44">
      <c r="A44" s="5" t="n">
        <v>43</v>
      </c>
      <c r="B44" s="5" t="inlineStr">
        <is>
          <t>f08e5935c2f1</t>
        </is>
      </c>
      <c r="C44" s="5" t="inlineStr">
        <is>
          <t>Theory of spin nematic to spin-Peierls quantum phase transition in ultracold spin-1 atoms in optical lattices</t>
        </is>
      </c>
      <c r="D44" s="5" t="inlineStr">
        <is>
          <t>Christoph M. Puetter; Michael J. Lawler; Hae-Young Kee</t>
        </is>
      </c>
      <c r="E44" s="5" t="inlineStr">
        <is>
          <t>2008</t>
        </is>
      </c>
      <c r="F44" s="5" t="inlineStr">
        <is>
          <t>10.1103/PhysRevB.78.165121</t>
        </is>
      </c>
      <c r="G44" s="5" t="inlineStr">
        <is>
          <t>We present a theory of the anisotropy tuned quantum phase transition between spin nematic and spin-Peierls phases in S=1 systems with significant bi-quadratic exchange interactions. Based on quantum Monte Carlo studies on finite size systems, [K. Harada et al., J. Phys. Soc. Jpn. 76, 013703 (2007)] it has been proposed that this phase transition is second order with new deconfined fractional excitations that are absent in either of the two phases [T. Grover and T. Senthil, Phys. Rev. Lett. 98, 247202 (2007)]. The possibility of a weak first order transition, however, cannot be ruled out. To elucidate the nature of the transition, we construct a large-N SO(3N) model for this phase transition and find in the $N\to\infty$ limit that the transition is generically of first order. Furthermore, we find a critical point in the 1D limit, where two transition lines, separating spin nematic, ferromagnetic, and spin-Peierls phases, meet. Our study indicates that the spin nematic phase is absent in 1D, while its correlation length diverges at the critical point. Predictions for $^{23}$Na atoms trapped in an optical lattice, where this quantum phase transition naturally arises, are discussed.</t>
        </is>
      </c>
      <c r="H44" s="5" t="inlineStr">
        <is>
          <t>arxiv</t>
        </is>
      </c>
      <c r="I44" s="5" t="n"/>
      <c r="J44" s="5" t="n"/>
      <c r="K44" s="5" t="n"/>
      <c r="L44" s="5" t="n"/>
    </row>
    <row r="45">
      <c r="A45" s="5" t="n">
        <v>44</v>
      </c>
      <c r="B45" s="5" t="inlineStr">
        <is>
          <t>4dc6746d80a2</t>
        </is>
      </c>
      <c r="C45" s="5" t="inlineStr">
        <is>
          <t>Uncertainty and symmetry bound for the total detection probability of quantum walks</t>
        </is>
      </c>
      <c r="D45" s="5" t="inlineStr">
        <is>
          <t>Felix Thiel; Itay Mualem; David A. Kessler; Eli Barkai</t>
        </is>
      </c>
      <c r="E45" s="5" t="inlineStr">
        <is>
          <t>2019</t>
        </is>
      </c>
      <c r="F45" s="5" t="inlineStr"/>
      <c r="G45" s="5" t="inlineStr">
        <is>
          <t>We investigate a generic quantum walk starting in state $|\psi_\text{in} \rangle$, on a finite graph, under repeated detection attempts aimed to find the particle on node $|d\rangle$. For the corresponding classical random walk the total detection probability $P_{\rm det}$ is unity. Due to destructive interference one may find initial states $|\psi_\text{in}\rangle$ with $P_{\rm det}&lt;1$. We first obtain an uncertainty relation which yields insight on this deviation from classical behavior, showing the relation between $P_{\rm det}$ and energy fluctuations: $ \Delta P \, {\rm Var} [\hat{H}]_d \ge | \langle d | [ \hat{H}, \hat{D} ] | \psi_\text{in} \rangle |^2$ where $\Delta P = P_{\rm det} - | \langle \psi_{\rm in} | d \rangle |^2$, and $\hat{D} = |d\rangle \langle d |$ is the measurement projector. Secondly, exploiting symmetry we show that $P_{\rm det}\le 1/\nu$ where the integer $\nu$ is the number of states equivalent to the initial state. These bounds are compared with the exact solution, obtained from an analysis of the dark and bright subspaces, showing the usefulness of the approach.</t>
        </is>
      </c>
      <c r="H45" s="5" t="inlineStr">
        <is>
          <t>openalex</t>
        </is>
      </c>
      <c r="I45" s="5" t="n"/>
      <c r="J45" s="5" t="n"/>
      <c r="K45" s="5" t="n"/>
      <c r="L45" s="5" t="n"/>
    </row>
    <row r="46">
      <c r="A46" s="5" t="n">
        <v>45</v>
      </c>
      <c r="B46" s="5" t="inlineStr">
        <is>
          <t>6c3f002e5bcd</t>
        </is>
      </c>
      <c r="C46" s="5" t="inlineStr">
        <is>
          <t>Quantum Simulated Annealing</t>
        </is>
      </c>
      <c r="D46" s="5" t="inlineStr">
        <is>
          <t>R. Somma; S. Boixo; H. Barnum</t>
        </is>
      </c>
      <c r="E46" s="5" t="inlineStr">
        <is>
          <t>2007</t>
        </is>
      </c>
      <c r="F46" s="5" t="inlineStr"/>
      <c r="G46" s="5" t="inlineStr">
        <is>
          <t>We develop a quantum algorithm to solve combinatorial optimization problems through quantum simulation of a classical annealing process. Our algorithm combines techniques from quantum walks, quantum phase estimation, and quantum Zeno effect. It can be viewed as a quantum analogue of the discrete-time Markov chain Monte Carlo implementation of classical simulated annealing. Our implementation scales with the inverse of the square root of the minimum spectral gap of the stochastic matrix used in the classical simulation. The quantum algorithm outperforms the classical one, which scales with the inverse of the gap.</t>
        </is>
      </c>
      <c r="H46" s="5" t="inlineStr">
        <is>
          <t>arxiv</t>
        </is>
      </c>
      <c r="I46" s="5" t="n"/>
      <c r="J46" s="5" t="n"/>
      <c r="K46" s="5" t="n"/>
      <c r="L46" s="5" t="n"/>
    </row>
    <row r="47">
      <c r="A47" s="5" t="n">
        <v>46</v>
      </c>
      <c r="B47" s="5" t="inlineStr">
        <is>
          <t>ce0ffad1a7a5</t>
        </is>
      </c>
      <c r="C47" s="5" t="inlineStr">
        <is>
          <t>Explainable Artificial Intelligence Using Expressive Boolean Formulas</t>
        </is>
      </c>
      <c r="D47" s="5" t="inlineStr">
        <is>
          <t>Rosenberg G.</t>
        </is>
      </c>
      <c r="E47" s="5" t="inlineStr">
        <is>
          <t>2023</t>
        </is>
      </c>
      <c r="F47" s="5" t="inlineStr">
        <is>
          <t>10.3390/make5040086</t>
        </is>
      </c>
      <c r="G47" s="5" t="inlineStr"/>
      <c r="H47" s="5" t="inlineStr">
        <is>
          <t>scopus</t>
        </is>
      </c>
      <c r="I47" s="5" t="n"/>
      <c r="J47" s="5" t="n"/>
      <c r="K47" s="5" t="n"/>
      <c r="L47" s="5" t="n"/>
    </row>
    <row r="48">
      <c r="A48" s="5" t="n">
        <v>47</v>
      </c>
      <c r="B48" s="5" t="inlineStr">
        <is>
          <t>a143717759af</t>
        </is>
      </c>
      <c r="C48" s="5" t="inlineStr">
        <is>
          <t>Reverse Stress Testing in Banking</t>
        </is>
      </c>
      <c r="D48" s="5" t="inlineStr">
        <is>
          <t>Eichhorn, Michael; Bellini, Tiziano; Mayenberger, Daniel; Ahmad, Nasir; Bouayoun, Assad; Caccioli, Fabio; Charmaille, Jean-Pierre; Cotoi, Iulian; Crépey, Stéphane; Danielsson, Jon; Dash, Sidhartha; Davies, Brandon; Dengler, Heike; Albanese, Claudio; Fouché, Morgane; Gann, Philipp; Henry, Jérôme; Iabichino, Stefano; Ivantsov, Evgueni; Almehed, Daniel</t>
        </is>
      </c>
      <c r="E48" s="5" t="inlineStr">
        <is>
          <t>2021</t>
        </is>
      </c>
      <c r="F48" s="5" t="inlineStr">
        <is>
          <t>10.1515/9783110647907</t>
        </is>
      </c>
      <c r="G48" s="5" t="inlineStr">
        <is>
          <t>Reverse stress testing was introduced in risk management as a regulatory tool for financial institutions more than a decade ago. The recent Covid-19 crisis illustrates its relevance and highlights the need for a systematic re-thinking of tail risks in the banking sector. This book addresses the need for practical guidance describing the entire reverse stress testing process. Reverse Stress Testing in Banking features contributions from a diverse range of established practitioners and academics. Organized in six parts, the book presents a series of contributions providing an in-depth understanding of: Regulatory requirements and ways to address them Quantitative and qualitative approaches to apply reverse stress testing at different levels – from investment portfolios and individual banks to the entire banking system The use of artificial intelligence, machine learning and quantum computing to gain insights into and address banks’ structural weaknesses Opportunities to co-integrate reverse stress testing with recovery and resolution planning Governance and processes for board members and C-suite executives Readers will benefit from the case studies, use cases from practitioners, discussion questions, recommendations and innovative practices provided in this insightful and pioneering book.</t>
        </is>
      </c>
      <c r="H48" s="5" t="inlineStr">
        <is>
          <t>openalex</t>
        </is>
      </c>
      <c r="I48" s="5" t="n"/>
      <c r="J48" s="5" t="n"/>
      <c r="K48" s="5" t="n"/>
      <c r="L48" s="5" t="n"/>
    </row>
    <row r="49">
      <c r="A49" s="5" t="n">
        <v>48</v>
      </c>
      <c r="B49" s="5" t="inlineStr">
        <is>
          <t>925eaf388ff1</t>
        </is>
      </c>
      <c r="C49" s="5" t="inlineStr">
        <is>
          <t>Data-driven financial fraud detection using hybrid artificial and quantum intelligence</t>
        </is>
      </c>
      <c r="D49" s="5" t="inlineStr">
        <is>
          <t>Md. Sobuj Mia; Sujit Roy; Md Amimul Ihsan; Sadek Hossain; Md. Khabir Uddin Ahamed</t>
        </is>
      </c>
      <c r="E49" s="5" t="inlineStr">
        <is>
          <t>2025</t>
        </is>
      </c>
      <c r="F49" s="5" t="inlineStr">
        <is>
          <t>10.1016/j.tbench.2025.100252</t>
        </is>
      </c>
      <c r="G49" s="5" t="inlineStr"/>
      <c r="H49" s="5" t="inlineStr">
        <is>
          <t>openalex</t>
        </is>
      </c>
      <c r="I49" s="5" t="n"/>
      <c r="J49" s="5" t="n"/>
      <c r="K49" s="5" t="n"/>
      <c r="L49" s="5" t="n"/>
    </row>
    <row r="50">
      <c r="A50" s="5" t="n">
        <v>49</v>
      </c>
      <c r="B50" s="5" t="inlineStr">
        <is>
          <t>f0de7396f688</t>
        </is>
      </c>
      <c r="C50" s="5" t="inlineStr">
        <is>
          <t>Climate change effect mitigation through cultivation practices in olive trees</t>
        </is>
      </c>
      <c r="D50" s="5" t="inlineStr">
        <is>
          <t>G. Michalopoulos; K. Kasapi; G. Koubouris; G. Psarras; G. Arampatzis; E. Hatzigiannakis; V. Kavvadias; C. Xylogiannis; G. Montanaro; S. Malliaraki; A. Angelaki; C. Manolaraki; G. Giakoumaki; S. Reppas; G. Kokkinos</t>
        </is>
      </c>
      <c r="E50" s="5" t="inlineStr">
        <is>
          <t>2019</t>
        </is>
      </c>
      <c r="F50" s="5" t="inlineStr"/>
      <c r="G50" s="5" t="inlineStr"/>
      <c r="H50" s="5" t="inlineStr">
        <is>
          <t>semantic_scholar</t>
        </is>
      </c>
      <c r="I50" s="5" t="n"/>
      <c r="J50" s="5" t="n"/>
      <c r="K50" s="5" t="n"/>
      <c r="L50" s="5" t="n"/>
    </row>
    <row r="51">
      <c r="A51" s="5" t="n">
        <v>50</v>
      </c>
      <c r="B51" s="5" t="inlineStr">
        <is>
          <t>0030bd185e0d</t>
        </is>
      </c>
      <c r="C51" s="5" t="inlineStr">
        <is>
          <t>AI-Augmented Quantitative Finance: A Multi-Methodological Framework Combining Machine Learning, Deep Learning, and Quantum Computing for Predictive Risk Modeling</t>
        </is>
      </c>
      <c r="D51" s="5" t="inlineStr">
        <is>
          <t>Murali Krishna Pasupuleti</t>
        </is>
      </c>
      <c r="E51" s="5" t="inlineStr">
        <is>
          <t>2025</t>
        </is>
      </c>
      <c r="F51" s="5" t="inlineStr">
        <is>
          <t>10.62311/nesx/rp-4-aug-2025</t>
        </is>
      </c>
      <c r="G51" s="5" t="inlineStr">
        <is>
          <t>Abstract: The increasing complexity and volatility of global financial markets highlight the limitations of traditional risk modeling frameworks, which often rely on linear assumptions and fail to capture nonlinear dependencies and systemic shocks. This study proposes an augmented multi-methodological framework that integrates machine learning, deep learning, and quantum computing to advance predictive risk modeling in quantitative finance. Conceptually, the framework builds upon existing AI-based approaches while introducing quantum-enhanced algorithms to address computational bottlenecks in optimization and simulation. The research problem is defined by the absence of a comprehensive, hybrid framework capable of balancing predictive accuracy, scalability, and interpretability in high-dimensional financial environments. The methodology combines machine learning for feature engineering, deep learning for modeling nonlinear temporal dynamics, and quantum computing for accelerating high-dimensional optimization tasks. Empirical testing against structured and unstructured financial datasets demonstrates that the augmented framework significantly outperforms classical econometric models and standalone AI approaches in predictive accuracy and robustness, particularly under crisis conditions. The results further indicate reductions in computational time through quantum-enhanced optimization, without sacrificing model interpretability. The study contributes to theory by extending the scope of quantitative finance into hybrid computational paradigms, and to practice by offering actionable insights for financial institutions, regulators, and policymakers. The implications suggest that multi-methodological convergence represents a critical pathway toward resilient and adaptive financial systems in the digital era. Keywords Augmented quantitative finance, predictive risk modeling, machine learning, deep learning, quantum computing, systemic risk, financial forecasting, portfolio optimization, computational finance, hybrid modeling frameworks</t>
        </is>
      </c>
      <c r="H51" s="5" t="inlineStr">
        <is>
          <t>openalex</t>
        </is>
      </c>
      <c r="I51" s="5" t="n"/>
      <c r="J51" s="5" t="n"/>
      <c r="K51" s="5" t="n"/>
      <c r="L51" s="5" t="n"/>
    </row>
  </sheetData>
  <autoFilter ref="A1:L51"/>
  <conditionalFormatting sqref="I2:I51">
    <cfRule type="cellIs" priority="1" operator="equal" dxfId="0">
      <formula>"include"</formula>
    </cfRule>
    <cfRule type="cellIs" priority="2" operator="equal" dxfId="1">
      <formula>"exclude"</formula>
    </cfRule>
    <cfRule type="cellIs" priority="3" operator="equal" dxfId="2">
      <formula>"maybe"</formula>
    </cfRule>
  </conditionalFormatting>
  <conditionalFormatting sqref="J2:J51">
    <cfRule type="cellIs" priority="4" operator="equal" dxfId="0">
      <formula>"include"</formula>
    </cfRule>
    <cfRule type="cellIs" priority="5" operator="equal" dxfId="1">
      <formula>"exclude"</formula>
    </cfRule>
    <cfRule type="cellIs" priority="6" operator="equal" dxfId="2">
      <formula>"maybe"</formula>
    </cfRule>
  </conditionalFormatting>
  <conditionalFormatting sqref="K2:K51">
    <cfRule type="cellIs" priority="7" operator="equal" dxfId="0">
      <formula>"include"</formula>
    </cfRule>
    <cfRule type="cellIs" priority="8" operator="equal" dxfId="1">
      <formula>"exclude"</formula>
    </cfRule>
    <cfRule type="cellIs" priority="9" operator="equal" dxfId="2">
      <formula>"maybe"</formula>
    </cfRule>
  </conditionalFormatting>
  <dataValidations count="1">
    <dataValidation sqref="I2 I3 I4 I5 I6 I7 I8 I9 I10 I11 I12 I13 I14 I15 I16 I17 I18 I19 I20 I21 I22 I23 I24 I25 I26 I27 I28 I29 I30 I31 I32 I33 I34 I35 I36 I37 I38 I39 I40 I41 I42 I43 I44 I45 I46 I47 I48 I49 I50 I51 J2 J3 J4 J5 J6 J7 J8 J9 J10 J11 J12 J13 J14 J15 J16 J17 J18 J19 J20 J21 J22 J23 J24 J25 J26 J27 J28 J29 J30 J31 J32 J33 J34 J35 J36 J37 J38 J39 J40 J41 J42 J43 J44 J45 J46 J47 J48 J49 J50 J51 K2 K3 K4 K5 K6 K7 K8 K9 K10 K11 K12 K13 K14 K15 K16 K17 K18 K19 K20 K21 K22 K23 K24 K25 K26 K27 K28 K29 K30 K31 K32 K33 K34 K35 K36 K37 K38 K39 K40 K41 K42 K43 K44 K45 K46 K47 K48 K49 K50 K51" showDropDown="0" showInputMessage="0" showErrorMessage="0" allowBlank="1" errorTitle="Invalid decision" error="Please select: include, exclude, or maybe" promptTitle="Decision" prompt="Select your screening decision" type="list">
      <formula1>"include,exclude,maybe"</formula1>
    </dataValidation>
  </dataValidations>
  <pageMargins left="0.75" right="0.75" top="1" bottom="1" header="0.5" footer="0.5"/>
</worksheet>
</file>

<file path=xl/worksheets/sheet3.xml><?xml version="1.0" encoding="utf-8"?>
<worksheet xmlns="http://schemas.openxmlformats.org/spreadsheetml/2006/main">
  <sheetPr>
    <tabColor rgb="0000B050"/>
    <outlinePr summaryBelow="1" summaryRight="1"/>
    <pageSetUpPr/>
  </sheetPr>
  <dimension ref="A1:C8"/>
  <sheetViews>
    <sheetView workbookViewId="0">
      <selection activeCell="A1" sqref="A1"/>
    </sheetView>
  </sheetViews>
  <sheetFormatPr baseColWidth="8" defaultRowHeight="15"/>
  <cols>
    <col width="18" customWidth="1" min="1" max="1"/>
    <col width="14" customWidth="1" min="2" max="2"/>
    <col width="14" customWidth="1" min="3" max="3"/>
  </cols>
  <sheetData>
    <row r="1">
      <c r="A1" s="6" t="inlineStr">
        <is>
          <t>Metric</t>
        </is>
      </c>
      <c r="B1" s="6" t="inlineStr">
        <is>
          <t>Count</t>
        </is>
      </c>
      <c r="C1" s="6" t="inlineStr">
        <is>
          <t>Percentage</t>
        </is>
      </c>
    </row>
    <row r="2">
      <c r="A2" s="3" t="inlineStr">
        <is>
          <t>Total records</t>
        </is>
      </c>
      <c r="B2" s="7" t="inlineStr">
        <is>
          <t>50</t>
        </is>
      </c>
      <c r="C2" s="8" t="inlineStr"/>
    </row>
    <row r="3">
      <c r="A3" s="3" t="inlineStr">
        <is>
          <t>Screened</t>
        </is>
      </c>
      <c r="B3" s="7">
        <f>COUNTA('Screening'.I2:I51)</f>
        <v/>
      </c>
      <c r="C3" s="8">
        <f>B3/B2</f>
        <v/>
      </c>
    </row>
    <row r="4">
      <c r="A4" s="3" t="inlineStr">
        <is>
          <t>Remaining</t>
        </is>
      </c>
      <c r="B4" s="7">
        <f>B2-B3</f>
        <v/>
      </c>
      <c r="C4" s="8">
        <f>B4/B2</f>
        <v/>
      </c>
    </row>
    <row r="5">
      <c r="A5" s="2" t="inlineStr"/>
      <c r="B5" s="7" t="inlineStr"/>
      <c r="C5" s="8" t="inlineStr"/>
    </row>
    <row r="6">
      <c r="A6" s="3" t="inlineStr">
        <is>
          <t>Include</t>
        </is>
      </c>
      <c r="B6" s="7">
        <f>COUNTIF('Screening'.I2:I51,"include")</f>
        <v/>
      </c>
      <c r="C6" s="8">
        <f>IF(B3&gt;0,B7/B3,"")</f>
        <v/>
      </c>
    </row>
    <row r="7">
      <c r="A7" s="3" t="inlineStr">
        <is>
          <t>Exclude</t>
        </is>
      </c>
      <c r="B7" s="7">
        <f>COUNTIF('Screening'.I2:I51,"exclude")</f>
        <v/>
      </c>
      <c r="C7" s="8">
        <f>IF(B3&gt;0,B8/B3,"")</f>
        <v/>
      </c>
    </row>
    <row r="8">
      <c r="A8" s="3" t="inlineStr">
        <is>
          <t>Maybe</t>
        </is>
      </c>
      <c r="B8" s="7">
        <f>COUNTIF('Screening'.I2:I51,"maybe")</f>
        <v/>
      </c>
      <c r="C8" s="8">
        <f>IF(B3&gt;0,B9/B3,"")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2026-03-10T09:55:26Z</dcterms:created>
  <dcterms:modified xsi:type="dcterms:W3CDTF">2026-03-10T09:55:26Z</dcterms:modified>
</cp:coreProperties>
</file>